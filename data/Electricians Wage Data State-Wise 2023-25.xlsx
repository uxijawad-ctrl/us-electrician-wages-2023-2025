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 Scale" sheetId="1" r:id="rId5"/>
    <sheet state="visible" name="Electrians2023" sheetId="2" r:id="rId6"/>
    <sheet state="visible" name="Electrians2024" sheetId="3" r:id="rId7"/>
    <sheet state="visible" name="Electricians2025" sheetId="4" r:id="rId8"/>
    <sheet state="visible" name="% Change in Median Hourly Wages" sheetId="5" r:id="rId9"/>
    <sheet state="visible" name="% Change in Avg Hourly Wages" sheetId="6" r:id="rId10"/>
    <sheet state="visible" name="Avg-Med Growth Delta" sheetId="7" r:id="rId11"/>
    <sheet state="visible" name="Highest Avg-Median Gap YoY" sheetId="8" r:id="rId12"/>
    <sheet state="visible" name="Total Employment vs Wages" sheetId="9" r:id="rId13"/>
    <sheet state="visible" name="Electrician Density vs Wages" sheetId="10" r:id="rId14"/>
    <sheet state="visible" name="Negative Avg-Median Gap YoY" sheetId="11" r:id="rId15"/>
  </sheets>
  <definedNames/>
  <calcPr/>
</workbook>
</file>

<file path=xl/sharedStrings.xml><?xml version="1.0" encoding="utf-8"?>
<sst xmlns="http://schemas.openxmlformats.org/spreadsheetml/2006/main" count="779" uniqueCount="153">
  <si>
    <t>Employment Error Scale</t>
  </si>
  <si>
    <t>Wage Error Scale</t>
  </si>
  <si>
    <t>Band</t>
  </si>
  <si>
    <t>Range</t>
  </si>
  <si>
    <t>Meaning</t>
  </si>
  <si>
    <t>Low</t>
  </si>
  <si>
    <t>&lt; 5%</t>
  </si>
  <si>
    <t>Reliable</t>
  </si>
  <si>
    <t>&lt; 2%</t>
  </si>
  <si>
    <t>Moderate</t>
  </si>
  <si>
    <t>5-8%</t>
  </si>
  <si>
    <t>Usable, note caveat</t>
  </si>
  <si>
    <t>2-4%</t>
  </si>
  <si>
    <t>High</t>
  </si>
  <si>
    <t>&gt; 8%</t>
  </si>
  <si>
    <t>Flag/exclude from headline claims</t>
  </si>
  <si>
    <t>&gt; 4%</t>
  </si>
  <si>
    <t>State Abbr.</t>
  </si>
  <si>
    <t>State</t>
  </si>
  <si>
    <t>Total Employment</t>
  </si>
  <si>
    <t>% error in Total Employment</t>
  </si>
  <si>
    <t>Employment Error Band</t>
  </si>
  <si>
    <t>Electricians per 1000 Total Jobs</t>
  </si>
  <si>
    <t>Average Hourly Wage</t>
  </si>
  <si>
    <t>Average Annual Wage</t>
  </si>
  <si>
    <t>% error in Avg Hourly Wage</t>
  </si>
  <si>
    <t>Wage Error Band</t>
  </si>
  <si>
    <t>Avg Hourly Wage (Bottom 10%)</t>
  </si>
  <si>
    <t>Avg Hourly Wage (Bottom 25%)</t>
  </si>
  <si>
    <t>Median Hourly Wage</t>
  </si>
  <si>
    <t>Avg Hourly Wage (Top 25%)</t>
  </si>
  <si>
    <t>Avg Hourly Wage (Top 10%)</t>
  </si>
  <si>
    <t>Avg Annual Wage (Bottom 10%)</t>
  </si>
  <si>
    <t>Avg Annual Wage (Bottom 25%)</t>
  </si>
  <si>
    <t>Median Annual Wage</t>
  </si>
  <si>
    <t>Avg Annual Wage (Top 25%)</t>
  </si>
  <si>
    <t>Avg Annual Wage (Top 10%)</t>
  </si>
  <si>
    <t>Avg-Median Gap</t>
  </si>
  <si>
    <t>Avg-Median Gap (% of Median)</t>
  </si>
  <si>
    <t>Ratio of Top vs Bottom 10% Earners</t>
  </si>
  <si>
    <t>Flag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</si>
  <si>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</si>
  <si>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</si>
  <si>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</si>
  <si>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</si>
  <si>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</si>
  <si>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</si>
  <si>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</si>
  <si>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</si>
  <si>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</si>
  <si>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</si>
  <si>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</si>
  <si>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</si>
  <si>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</si>
  <si>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</si>
  <si>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</si>
  <si>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</si>
  <si>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</si>
  <si>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</si>
  <si>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</si>
  <si>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</si>
  <si>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</si>
  <si>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</si>
  <si>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</si>
  <si>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</si>
  <si>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</si>
  <si>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</si>
  <si>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</si>
  <si>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</si>
  <si>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</si>
  <si>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</si>
  <si>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</si>
  <si>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</si>
  <si>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</si>
  <si>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</si>
  <si>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</si>
  <si>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</si>
  <si>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</si>
  <si>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</si>
  <si>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</si>
  <si>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</si>
  <si>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</si>
  <si>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</si>
  <si>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</si>
  <si>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</si>
  <si>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</si>
  <si>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</si>
  <si>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</si>
  <si>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</si>
  <si>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</si>
  <si>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</si>
  <si>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</si>
  <si>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</si>
  <si>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</si>
  <si>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</si>
  <si>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</si>
  <si>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</si>
  <si>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Total % change (2023 - &gt; 2025)</t>
  </si>
  <si>
    <t>Compound Annual Growth Rate (CAGR)</t>
  </si>
  <si>
    <t>NH</t>
  </si>
  <si>
    <t>New Hampshire</t>
  </si>
  <si>
    <t>NJ</t>
  </si>
  <si>
    <t>New Jersey</t>
  </si>
  <si>
    <t>NM</t>
  </si>
  <si>
    <t>New Mexico</t>
  </si>
  <si>
    <t>Wyoming</t>
  </si>
  <si>
    <t>NY</t>
  </si>
  <si>
    <t>New York</t>
  </si>
  <si>
    <t>Washington</t>
  </si>
  <si>
    <t>Oregon</t>
  </si>
  <si>
    <t>NC</t>
  </si>
  <si>
    <t>North Carolina</t>
  </si>
  <si>
    <t>South Carolina</t>
  </si>
  <si>
    <t>ND</t>
  </si>
  <si>
    <t>Rhode Island</t>
  </si>
  <si>
    <t>North Dakota</t>
  </si>
  <si>
    <t>Vermont</t>
  </si>
  <si>
    <t>Tennessee</t>
  </si>
  <si>
    <t>South Dakota</t>
  </si>
  <si>
    <t>Oklahoma</t>
  </si>
  <si>
    <t>Texas</t>
  </si>
  <si>
    <t>Virginia</t>
  </si>
  <si>
    <t>OH</t>
  </si>
  <si>
    <t>Ohio</t>
  </si>
  <si>
    <t>OK</t>
  </si>
  <si>
    <t>OR</t>
  </si>
  <si>
    <t>PA</t>
  </si>
  <si>
    <t>Pennsylvania</t>
  </si>
  <si>
    <t>RI</t>
  </si>
  <si>
    <t>SC</t>
  </si>
  <si>
    <t>SD</t>
  </si>
  <si>
    <t>TN</t>
  </si>
  <si>
    <t>TX</t>
  </si>
  <si>
    <t>UT</t>
  </si>
  <si>
    <t>Utah</t>
  </si>
  <si>
    <t>VT</t>
  </si>
  <si>
    <t>VA</t>
  </si>
  <si>
    <t>WA</t>
  </si>
  <si>
    <t>WV</t>
  </si>
  <si>
    <t>West Virginia</t>
  </si>
  <si>
    <t>WI</t>
  </si>
  <si>
    <t>Wisconsin</t>
  </si>
  <si>
    <t>WY</t>
  </si>
  <si>
    <t>Total % change (2023 - &gt; 2024)</t>
  </si>
  <si>
    <t>Total % change (2024 - &gt; 2025)</t>
  </si>
  <si>
    <t>Total % change Top10 (2023 - &gt; 2025)</t>
  </si>
  <si>
    <t>Total % change Bottom10 (2023 - &gt; 2025)</t>
  </si>
  <si>
    <t>Average-vs-median Growth Delta</t>
  </si>
  <si>
    <t>% Change in Employment</t>
  </si>
  <si>
    <t>Correlation</t>
  </si>
  <si>
    <t>Correlation (minus VT)</t>
  </si>
  <si>
    <t>% change Wages (2023 - &gt; 2025)</t>
  </si>
  <si>
    <t xml:space="preserve">% Change in Electrician Density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</si>
</sst>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2" fontId="3" numFmtId="0" xfId="0" applyAlignment="1" applyBorder="1" applyFill="1" applyFon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 vertical="bottom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2" fontId="5" numFmtId="164" xfId="0" applyAlignment="1" applyFont="1" applyNumberFormat="1">
      <alignment horizontal="center" vertical="bottom"/>
    </xf>
    <xf borderId="4" fillId="3" fontId="3" numFmtId="0" xfId="0" applyBorder="1" applyFill="1" applyFont="1"/>
    <xf borderId="4" fillId="0" fontId="1" numFmtId="0" xfId="0" applyAlignment="1" applyBorder="1" applyFont="1">
      <alignment horizontal="center" readingOrder="0"/>
    </xf>
    <xf borderId="4" fillId="3" fontId="3" numFmtId="2" xfId="0" applyAlignment="1" applyBorder="1" applyFont="1" applyNumberFormat="1">
      <alignment horizontal="center"/>
    </xf>
    <xf borderId="4" fillId="3" fontId="3" numFmtId="10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readingOrder="0" vertical="bottom"/>
    </xf>
    <xf borderId="4" fillId="0" fontId="1" numFmtId="2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0" fillId="0" fontId="5" numFmtId="2" xfId="0" applyAlignment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/>
    </xf>
    <xf borderId="4" fillId="0" fontId="3" numFmtId="10" xfId="0" applyAlignment="1" applyBorder="1" applyFont="1" applyNumberFormat="1">
      <alignment horizontal="center"/>
    </xf>
    <xf borderId="0" fillId="0" fontId="3" numFmtId="3" xfId="0" applyFont="1" applyNumberFormat="1"/>
    <xf borderId="0" fillId="0" fontId="3" numFmtId="164" xfId="0" applyFont="1" applyNumberFormat="1"/>
    <xf borderId="0" fillId="0" fontId="3" numFmtId="4" xfId="0" applyFont="1" applyNumberFormat="1"/>
    <xf borderId="0" fillId="3" fontId="3" numFmtId="0" xfId="0" applyFont="1"/>
    <xf borderId="0" fillId="3" fontId="3" numFmtId="2" xfId="0" applyAlignment="1" applyFont="1" applyNumberFormat="1">
      <alignment horizontal="center"/>
    </xf>
    <xf borderId="0" fillId="3" fontId="3" numFmtId="10" xfId="0" applyAlignment="1" applyFont="1" applyNumberFormat="1">
      <alignment horizontal="center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2" xfId="0" applyAlignment="1" applyBorder="1" applyFont="1" applyNumberFormat="1">
      <alignment horizontal="center" vertical="bottom"/>
    </xf>
    <xf borderId="0" fillId="0" fontId="1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/>
    </xf>
    <xf borderId="0" fillId="0" fontId="3" numFmtId="165" xfId="0" applyFont="1" applyNumberFormat="1"/>
    <xf borderId="0" fillId="0" fontId="3" numFmtId="10" xfId="0" applyAlignment="1" applyFont="1" applyNumberFormat="1">
      <alignment horizontal="center"/>
    </xf>
    <xf borderId="5" fillId="0" fontId="6" numFmtId="0" xfId="0" applyAlignment="1" applyBorder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7" fillId="0" fontId="4" numFmtId="4" xfId="0" applyAlignment="1" applyBorder="1" applyFont="1" applyNumberFormat="1">
      <alignment horizontal="center" readingOrder="0" vertical="bottom"/>
    </xf>
    <xf borderId="4" fillId="0" fontId="4" numFmtId="4" xfId="0" applyAlignment="1" applyBorder="1" applyFont="1" applyNumberFormat="1">
      <alignment horizontal="center" readingOrder="0" vertical="bottom"/>
    </xf>
    <xf borderId="4" fillId="0" fontId="3" numFmtId="0" xfId="0" applyBorder="1" applyFont="1"/>
    <xf borderId="4" fillId="0" fontId="3" numFmtId="4" xfId="0" applyAlignment="1" applyBorder="1" applyFont="1" applyNumberFormat="1">
      <alignment horizontal="center"/>
    </xf>
    <xf borderId="6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left"/>
    </xf>
    <xf borderId="4" fillId="0" fontId="1" numFmtId="2" xfId="0" applyAlignment="1" applyBorder="1" applyFont="1" applyNumberFormat="1">
      <alignment horizontal="center"/>
    </xf>
    <xf borderId="4" fillId="0" fontId="4" numFmtId="0" xfId="0" applyAlignment="1" applyBorder="1" applyFont="1">
      <alignment horizontal="left" readingOrder="0" vertical="bottom"/>
    </xf>
    <xf borderId="4" fillId="0" fontId="4" numFmtId="2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left" vertical="bottom"/>
    </xf>
    <xf borderId="4" fillId="0" fontId="5" numFmtId="3" xfId="0" applyAlignment="1" applyBorder="1" applyFont="1" applyNumberFormat="1">
      <alignment horizontal="center" vertical="bottom"/>
    </xf>
    <xf borderId="0" fillId="0" fontId="3" numFmtId="0" xfId="0" applyAlignment="1" applyFont="1">
      <alignment horizontal="left"/>
    </xf>
    <xf borderId="4" fillId="0" fontId="5" numFmtId="165" xfId="0" applyAlignment="1" applyBorder="1" applyFont="1" applyNumberFormat="1">
      <alignment horizontal="center" vertical="bottom"/>
    </xf>
    <xf borderId="0" fillId="0" fontId="3" numFmtId="2" xfId="0" applyFont="1" applyNumberFormat="1"/>
    <xf borderId="5" fillId="0" fontId="7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vertical="bottom"/>
    </xf>
    <xf borderId="4" fillId="0" fontId="5" numFmtId="164" xfId="0" applyAlignment="1" applyBorder="1" applyFont="1" applyNumberFormat="1">
      <alignment horizontal="center" vertical="bottom"/>
    </xf>
    <xf borderId="0" fillId="0" fontId="3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3" max="3" width="27.63"/>
    <col customWidth="1" min="4" max="4" width="14.13"/>
    <col customWidth="1" min="6" max="6" width="27.63"/>
  </cols>
  <sheetData>
    <row r="1">
      <c r="A1" s="1" t="s">
        <v>0</v>
      </c>
      <c r="B1" s="2"/>
      <c r="C1" s="3"/>
      <c r="D1" s="1" t="s">
        <v>1</v>
      </c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5" t="s">
        <v>4</v>
      </c>
      <c r="D2" s="5" t="s">
        <v>2</v>
      </c>
      <c r="E2" s="5" t="s">
        <v>3</v>
      </c>
      <c r="F2" s="5" t="s">
        <v>4</v>
      </c>
    </row>
    <row r="3">
      <c r="A3" s="6" t="s">
        <v>5</v>
      </c>
      <c r="B3" s="6" t="s">
        <v>6</v>
      </c>
      <c r="C3" s="6" t="s">
        <v>7</v>
      </c>
      <c r="D3" s="6" t="s">
        <v>5</v>
      </c>
      <c r="E3" s="6" t="s">
        <v>8</v>
      </c>
      <c r="F3" s="6" t="s">
        <v>7</v>
      </c>
    </row>
    <row r="4">
      <c r="A4" s="6" t="s">
        <v>9</v>
      </c>
      <c r="B4" s="6" t="s">
        <v>10</v>
      </c>
      <c r="C4" s="6" t="s">
        <v>11</v>
      </c>
      <c r="D4" s="6" t="s">
        <v>9</v>
      </c>
      <c r="E4" s="6" t="s">
        <v>12</v>
      </c>
      <c r="F4" s="6" t="s">
        <v>11</v>
      </c>
    </row>
    <row r="5">
      <c r="A5" s="7" t="s">
        <v>13</v>
      </c>
      <c r="B5" s="6" t="s">
        <v>14</v>
      </c>
      <c r="C5" s="6" t="s">
        <v>15</v>
      </c>
      <c r="D5" s="7" t="s">
        <v>13</v>
      </c>
      <c r="E5" s="6" t="s">
        <v>16</v>
      </c>
      <c r="F5" s="6" t="s">
        <v>15</v>
      </c>
    </row>
  </sheetData>
  <mergeCells count="2">
    <mergeCell ref="A1:C1"/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9.5"/>
    <col customWidth="1" min="3" max="3" width="21.25"/>
    <col customWidth="1" min="4" max="4" width="26.75"/>
    <col customWidth="1" min="5" max="5" width="23.75"/>
    <col customWidth="1" min="6" max="6" width="30.25"/>
    <col customWidth="1" min="7" max="8" width="21.0"/>
    <col customWidth="1" min="9" max="9" width="27.25"/>
    <col customWidth="1" min="10" max="10" width="27.5"/>
    <col customWidth="1" min="11" max="20" width="27.25"/>
    <col customWidth="1" min="21" max="21" width="20.88"/>
    <col customWidth="1" min="22" max="22" width="26.88"/>
    <col customWidth="1" min="23" max="23" width="30.5"/>
    <col customWidth="1" min="24" max="24" width="19.13"/>
  </cols>
  <sheetData>
    <row r="1" ht="15.75" customHeight="1">
      <c r="A1" s="8" t="s">
        <v>17</v>
      </c>
      <c r="B1" s="8" t="s">
        <v>18</v>
      </c>
      <c r="C1" s="8" t="s">
        <v>19</v>
      </c>
      <c r="D1" s="8" t="s">
        <v>20</v>
      </c>
      <c r="E1" s="9" t="s">
        <v>21</v>
      </c>
      <c r="F1" s="9" t="s">
        <v>22</v>
      </c>
      <c r="G1" s="8" t="s">
        <v>23</v>
      </c>
      <c r="H1" s="8" t="s">
        <v>24</v>
      </c>
      <c r="I1" s="8" t="s">
        <v>25</v>
      </c>
      <c r="J1" s="9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34</v>
      </c>
      <c r="S1" s="8" t="s">
        <v>35</v>
      </c>
      <c r="T1" s="8" t="s">
        <v>36</v>
      </c>
      <c r="U1" s="10" t="s">
        <v>37</v>
      </c>
      <c r="V1" s="11" t="s">
        <v>38</v>
      </c>
      <c r="W1" s="12" t="s">
        <v>39</v>
      </c>
      <c r="X1" s="10" t="s">
        <v>40</v>
      </c>
      <c r="Y1" s="13"/>
      <c r="Z1" s="13"/>
      <c r="AA1" s="13"/>
    </row>
    <row r="2" ht="15.75" customHeight="1">
      <c r="A2" s="14" t="s">
        <v>41</v>
      </c>
      <c r="B2" s="15" t="s">
        <v>42</v>
      </c>
      <c r="C2" s="16">
        <v>10250.0</v>
      </c>
      <c r="D2" s="17">
        <v>4.4</v>
      </c>
      <c r="E2" s="18" t="str">
        <f t="shared" ref="E2:E51" si="1">IF(D2&lt;5,"Low",IF(D2&lt;8,"Moderate","High"))</f>
        <v>Low</v>
      </c>
      <c r="F2" s="19">
        <v>4.991</v>
      </c>
      <c r="G2" s="20">
        <v>26.2</v>
      </c>
      <c r="H2" s="16">
        <v>54490.0</v>
      </c>
      <c r="I2" s="17">
        <v>1.3</v>
      </c>
      <c r="J2" s="18" t="str">
        <f t="shared" ref="J2:J51" si="2">IF(I2&lt;2,"Low",IF(I2&lt;4,"Moderate","High"))</f>
        <v>Low</v>
      </c>
      <c r="K2" s="20">
        <v>17.46</v>
      </c>
      <c r="L2" s="20">
        <v>20.3</v>
      </c>
      <c r="M2" s="20">
        <v>24.76</v>
      </c>
      <c r="N2" s="20">
        <v>30.87</v>
      </c>
      <c r="O2" s="20">
        <v>36.02</v>
      </c>
      <c r="P2" s="16">
        <v>36310.0</v>
      </c>
      <c r="Q2" s="16">
        <v>42220.0</v>
      </c>
      <c r="R2" s="16">
        <v>51500.0</v>
      </c>
      <c r="S2" s="16">
        <v>64210.0</v>
      </c>
      <c r="T2" s="16">
        <v>74920.0</v>
      </c>
      <c r="U2" s="16">
        <f t="shared" ref="U2:U51" si="3">G2-M2</f>
        <v>1.44</v>
      </c>
      <c r="V2" s="21">
        <f t="shared" ref="V2:V51" si="4">(U2/M2)*100</f>
        <v>5.815831987</v>
      </c>
      <c r="W2" s="22">
        <f t="shared" ref="W2:W51" si="5">O2/K2</f>
        <v>2.063001145</v>
      </c>
      <c r="X2" s="23" t="str">
        <f t="shared" ref="X2:X51" si="6">IF(OR(E2="High",J2="High"),"⚠ Use with caution","OK")</f>
        <v>OK</v>
      </c>
      <c r="Y2" s="16"/>
      <c r="Z2" s="16"/>
      <c r="AA2" s="16"/>
    </row>
    <row r="3" ht="15.75" customHeight="1">
      <c r="A3" s="14" t="s">
        <v>43</v>
      </c>
      <c r="B3" s="15" t="s">
        <v>44</v>
      </c>
      <c r="C3" s="16">
        <v>1620.0</v>
      </c>
      <c r="D3" s="17">
        <v>6.5</v>
      </c>
      <c r="E3" s="18" t="str">
        <f t="shared" si="1"/>
        <v>Moderate</v>
      </c>
      <c r="F3" s="19">
        <v>5.209</v>
      </c>
      <c r="G3" s="20">
        <v>39.5</v>
      </c>
      <c r="H3" s="16">
        <v>82160.0</v>
      </c>
      <c r="I3" s="17">
        <v>1.6</v>
      </c>
      <c r="J3" s="18" t="str">
        <f t="shared" si="2"/>
        <v>Low</v>
      </c>
      <c r="K3" s="20">
        <v>23.45</v>
      </c>
      <c r="L3" s="20">
        <v>29.3</v>
      </c>
      <c r="M3" s="20">
        <v>39.5</v>
      </c>
      <c r="N3" s="20">
        <v>46.21</v>
      </c>
      <c r="O3" s="20">
        <v>56.56</v>
      </c>
      <c r="P3" s="16">
        <v>48770.0</v>
      </c>
      <c r="Q3" s="16">
        <v>60930.0</v>
      </c>
      <c r="R3" s="16">
        <v>82160.0</v>
      </c>
      <c r="S3" s="16">
        <v>96120.0</v>
      </c>
      <c r="T3" s="16">
        <v>117640.0</v>
      </c>
      <c r="U3" s="16">
        <f t="shared" si="3"/>
        <v>0</v>
      </c>
      <c r="V3" s="21">
        <f t="shared" si="4"/>
        <v>0</v>
      </c>
      <c r="W3" s="22">
        <f t="shared" si="5"/>
        <v>2.411940299</v>
      </c>
      <c r="X3" s="23" t="str">
        <f t="shared" si="6"/>
        <v>OK</v>
      </c>
      <c r="Y3" s="16"/>
      <c r="Z3" s="16"/>
      <c r="AA3" s="16"/>
    </row>
    <row r="4" ht="15.75" customHeight="1">
      <c r="A4" s="14" t="s">
        <v>45</v>
      </c>
      <c r="B4" s="15" t="s">
        <v>46</v>
      </c>
      <c r="C4" s="16">
        <v>17640.0</v>
      </c>
      <c r="D4" s="17">
        <v>5.2</v>
      </c>
      <c r="E4" s="18" t="str">
        <f t="shared" si="1"/>
        <v>Moderate</v>
      </c>
      <c r="F4" s="19">
        <v>5.635</v>
      </c>
      <c r="G4" s="20">
        <v>28.57</v>
      </c>
      <c r="H4" s="16">
        <v>59420.0</v>
      </c>
      <c r="I4" s="17">
        <v>1.1</v>
      </c>
      <c r="J4" s="18" t="str">
        <f t="shared" si="2"/>
        <v>Low</v>
      </c>
      <c r="K4" s="20">
        <v>18.77</v>
      </c>
      <c r="L4" s="20">
        <v>22.9</v>
      </c>
      <c r="M4" s="20">
        <v>29.06</v>
      </c>
      <c r="N4" s="20">
        <v>32.31</v>
      </c>
      <c r="O4" s="20">
        <v>37.6</v>
      </c>
      <c r="P4" s="16">
        <v>39050.0</v>
      </c>
      <c r="Q4" s="16">
        <v>47640.0</v>
      </c>
      <c r="R4" s="16">
        <v>60440.0</v>
      </c>
      <c r="S4" s="16">
        <v>67210.0</v>
      </c>
      <c r="T4" s="16">
        <v>78210.0</v>
      </c>
      <c r="U4" s="16">
        <f t="shared" si="3"/>
        <v>-0.49</v>
      </c>
      <c r="V4" s="21">
        <f t="shared" si="4"/>
        <v>-1.686166552</v>
      </c>
      <c r="W4" s="22">
        <f t="shared" si="5"/>
        <v>2.00319659</v>
      </c>
      <c r="X4" s="23" t="str">
        <f t="shared" si="6"/>
        <v>OK</v>
      </c>
      <c r="Y4" s="16"/>
      <c r="Z4" s="16"/>
      <c r="AA4" s="16"/>
    </row>
    <row r="5" ht="15.75" customHeight="1">
      <c r="A5" s="14" t="s">
        <v>47</v>
      </c>
      <c r="B5" s="15" t="s">
        <v>48</v>
      </c>
      <c r="C5" s="16">
        <v>7650.0</v>
      </c>
      <c r="D5" s="17">
        <v>4.1</v>
      </c>
      <c r="E5" s="18" t="str">
        <f t="shared" si="1"/>
        <v>Low</v>
      </c>
      <c r="F5" s="19">
        <v>6.021</v>
      </c>
      <c r="G5" s="20">
        <v>23.94</v>
      </c>
      <c r="H5" s="16">
        <v>49800.0</v>
      </c>
      <c r="I5" s="17">
        <v>1.1</v>
      </c>
      <c r="J5" s="18" t="str">
        <f t="shared" si="2"/>
        <v>Low</v>
      </c>
      <c r="K5" s="20">
        <v>15.63</v>
      </c>
      <c r="L5" s="20">
        <v>18.16</v>
      </c>
      <c r="M5" s="20">
        <v>23.31</v>
      </c>
      <c r="N5" s="20">
        <v>28.4</v>
      </c>
      <c r="O5" s="20">
        <v>31.77</v>
      </c>
      <c r="P5" s="16">
        <v>32500.0</v>
      </c>
      <c r="Q5" s="16">
        <v>37770.0</v>
      </c>
      <c r="R5" s="16">
        <v>48480.0</v>
      </c>
      <c r="S5" s="16">
        <v>59070.0</v>
      </c>
      <c r="T5" s="16">
        <v>66080.0</v>
      </c>
      <c r="U5" s="16">
        <f t="shared" si="3"/>
        <v>0.63</v>
      </c>
      <c r="V5" s="21">
        <f t="shared" si="4"/>
        <v>2.702702703</v>
      </c>
      <c r="W5" s="22">
        <f t="shared" si="5"/>
        <v>2.032629559</v>
      </c>
      <c r="X5" s="23" t="str">
        <f t="shared" si="6"/>
        <v>OK</v>
      </c>
      <c r="Y5" s="16"/>
      <c r="Z5" s="16"/>
      <c r="AA5" s="16"/>
    </row>
    <row r="6" ht="15.75" customHeight="1">
      <c r="A6" s="14" t="s">
        <v>49</v>
      </c>
      <c r="B6" s="15" t="s">
        <v>50</v>
      </c>
      <c r="C6" s="16">
        <v>72880.0</v>
      </c>
      <c r="D6" s="17">
        <v>2.7</v>
      </c>
      <c r="E6" s="18" t="str">
        <f t="shared" si="1"/>
        <v>Low</v>
      </c>
      <c r="F6" s="19">
        <v>4.061</v>
      </c>
      <c r="G6" s="20">
        <v>40.54</v>
      </c>
      <c r="H6" s="16">
        <v>84330.0</v>
      </c>
      <c r="I6" s="17">
        <v>1.1</v>
      </c>
      <c r="J6" s="18" t="str">
        <f t="shared" si="2"/>
        <v>Low</v>
      </c>
      <c r="K6" s="20">
        <v>22.39</v>
      </c>
      <c r="L6" s="20">
        <v>27.95</v>
      </c>
      <c r="M6" s="20">
        <v>37.25</v>
      </c>
      <c r="N6" s="20">
        <v>48.78</v>
      </c>
      <c r="O6" s="20">
        <v>64.11</v>
      </c>
      <c r="P6" s="16">
        <v>46580.0</v>
      </c>
      <c r="Q6" s="16">
        <v>58140.0</v>
      </c>
      <c r="R6" s="16">
        <v>77470.0</v>
      </c>
      <c r="S6" s="16">
        <v>101470.0</v>
      </c>
      <c r="T6" s="16">
        <v>133340.0</v>
      </c>
      <c r="U6" s="16">
        <f t="shared" si="3"/>
        <v>3.29</v>
      </c>
      <c r="V6" s="21">
        <f t="shared" si="4"/>
        <v>8.832214765</v>
      </c>
      <c r="W6" s="22">
        <f t="shared" si="5"/>
        <v>2.863331845</v>
      </c>
      <c r="X6" s="23" t="str">
        <f t="shared" si="6"/>
        <v>OK</v>
      </c>
      <c r="Y6" s="16"/>
      <c r="Z6" s="16"/>
      <c r="AA6" s="16"/>
    </row>
    <row r="7" ht="15.75" customHeight="1">
      <c r="A7" s="14" t="s">
        <v>51</v>
      </c>
      <c r="B7" s="15" t="s">
        <v>52</v>
      </c>
      <c r="C7" s="16">
        <v>16110.0</v>
      </c>
      <c r="D7" s="17">
        <v>4.9</v>
      </c>
      <c r="E7" s="18" t="str">
        <f t="shared" si="1"/>
        <v>Low</v>
      </c>
      <c r="F7" s="19">
        <v>5.687</v>
      </c>
      <c r="G7" s="20">
        <v>30.17</v>
      </c>
      <c r="H7" s="16">
        <v>62760.0</v>
      </c>
      <c r="I7" s="17">
        <v>1.3</v>
      </c>
      <c r="J7" s="18" t="str">
        <f t="shared" si="2"/>
        <v>Low</v>
      </c>
      <c r="K7" s="20">
        <v>18.83</v>
      </c>
      <c r="L7" s="20">
        <v>22.92</v>
      </c>
      <c r="M7" s="20">
        <v>29.25</v>
      </c>
      <c r="N7" s="20">
        <v>36.81</v>
      </c>
      <c r="O7" s="20">
        <v>40.75</v>
      </c>
      <c r="P7" s="16">
        <v>39170.0</v>
      </c>
      <c r="Q7" s="16">
        <v>47670.0</v>
      </c>
      <c r="R7" s="16">
        <v>60850.0</v>
      </c>
      <c r="S7" s="16">
        <v>76560.0</v>
      </c>
      <c r="T7" s="16">
        <v>84760.0</v>
      </c>
      <c r="U7" s="16">
        <f t="shared" si="3"/>
        <v>0.92</v>
      </c>
      <c r="V7" s="21">
        <f t="shared" si="4"/>
        <v>3.145299145</v>
      </c>
      <c r="W7" s="22">
        <f t="shared" si="5"/>
        <v>2.164099841</v>
      </c>
      <c r="X7" s="23" t="str">
        <f t="shared" si="6"/>
        <v>OK</v>
      </c>
      <c r="Y7" s="16"/>
      <c r="Z7" s="16"/>
      <c r="AA7" s="16"/>
    </row>
    <row r="8" ht="15.75" customHeight="1">
      <c r="A8" s="14" t="s">
        <v>53</v>
      </c>
      <c r="B8" s="15" t="s">
        <v>54</v>
      </c>
      <c r="C8" s="16">
        <v>7230.0</v>
      </c>
      <c r="D8" s="17">
        <v>4.0</v>
      </c>
      <c r="E8" s="18" t="str">
        <f t="shared" si="1"/>
        <v>Low</v>
      </c>
      <c r="F8" s="19">
        <v>4.354</v>
      </c>
      <c r="G8" s="20">
        <v>33.18</v>
      </c>
      <c r="H8" s="16">
        <v>69010.0</v>
      </c>
      <c r="I8" s="17">
        <v>1.5</v>
      </c>
      <c r="J8" s="18" t="str">
        <f t="shared" si="2"/>
        <v>Low</v>
      </c>
      <c r="K8" s="20">
        <v>19.48</v>
      </c>
      <c r="L8" s="20">
        <v>24.82</v>
      </c>
      <c r="M8" s="20">
        <v>34.38</v>
      </c>
      <c r="N8" s="20">
        <v>37.4</v>
      </c>
      <c r="O8" s="20">
        <v>45.43</v>
      </c>
      <c r="P8" s="16">
        <v>40520.0</v>
      </c>
      <c r="Q8" s="16">
        <v>51620.0</v>
      </c>
      <c r="R8" s="16">
        <v>71500.0</v>
      </c>
      <c r="S8" s="16">
        <v>77790.0</v>
      </c>
      <c r="T8" s="16">
        <v>94500.0</v>
      </c>
      <c r="U8" s="16">
        <f t="shared" si="3"/>
        <v>-1.2</v>
      </c>
      <c r="V8" s="21">
        <f t="shared" si="4"/>
        <v>-3.490401396</v>
      </c>
      <c r="W8" s="22">
        <f t="shared" si="5"/>
        <v>2.332135524</v>
      </c>
      <c r="X8" s="23" t="str">
        <f t="shared" si="6"/>
        <v>OK</v>
      </c>
      <c r="Y8" s="16"/>
      <c r="Z8" s="16"/>
      <c r="AA8" s="16"/>
    </row>
    <row r="9" ht="15.75" customHeight="1">
      <c r="A9" s="14" t="s">
        <v>55</v>
      </c>
      <c r="B9" s="15" t="s">
        <v>56</v>
      </c>
      <c r="C9" s="16">
        <v>2420.0</v>
      </c>
      <c r="D9" s="17">
        <v>6.6</v>
      </c>
      <c r="E9" s="18" t="str">
        <f t="shared" si="1"/>
        <v>Moderate</v>
      </c>
      <c r="F9" s="19">
        <v>5.157</v>
      </c>
      <c r="G9" s="20">
        <v>30.93</v>
      </c>
      <c r="H9" s="16">
        <v>64340.0</v>
      </c>
      <c r="I9" s="17">
        <v>3.2</v>
      </c>
      <c r="J9" s="18" t="str">
        <f t="shared" si="2"/>
        <v>Moderate</v>
      </c>
      <c r="K9" s="20">
        <v>18.0</v>
      </c>
      <c r="L9" s="20">
        <v>22.7</v>
      </c>
      <c r="M9" s="20">
        <v>29.32</v>
      </c>
      <c r="N9" s="20">
        <v>37.52</v>
      </c>
      <c r="O9" s="20">
        <v>48.31</v>
      </c>
      <c r="P9" s="16">
        <v>37450.0</v>
      </c>
      <c r="Q9" s="16">
        <v>47220.0</v>
      </c>
      <c r="R9" s="16">
        <v>60990.0</v>
      </c>
      <c r="S9" s="16">
        <v>78030.0</v>
      </c>
      <c r="T9" s="16">
        <v>100470.0</v>
      </c>
      <c r="U9" s="16">
        <f t="shared" si="3"/>
        <v>1.61</v>
      </c>
      <c r="V9" s="21">
        <f t="shared" si="4"/>
        <v>5.491132333</v>
      </c>
      <c r="W9" s="22">
        <f t="shared" si="5"/>
        <v>2.683888889</v>
      </c>
      <c r="X9" s="23" t="str">
        <f t="shared" si="6"/>
        <v>OK</v>
      </c>
      <c r="Y9" s="16"/>
      <c r="Z9" s="16"/>
      <c r="AA9" s="16"/>
    </row>
    <row r="10" ht="15.75" customHeight="1">
      <c r="A10" s="14" t="s">
        <v>57</v>
      </c>
      <c r="B10" s="15" t="s">
        <v>58</v>
      </c>
      <c r="C10" s="16">
        <v>46690.0</v>
      </c>
      <c r="D10" s="17">
        <v>3.1</v>
      </c>
      <c r="E10" s="18" t="str">
        <f t="shared" si="1"/>
        <v>Low</v>
      </c>
      <c r="F10" s="19">
        <v>4.88</v>
      </c>
      <c r="G10" s="20">
        <v>25.18</v>
      </c>
      <c r="H10" s="16">
        <v>52380.0</v>
      </c>
      <c r="I10" s="17">
        <v>0.7</v>
      </c>
      <c r="J10" s="18" t="str">
        <f t="shared" si="2"/>
        <v>Low</v>
      </c>
      <c r="K10" s="20">
        <v>18.03</v>
      </c>
      <c r="L10" s="20">
        <v>21.78</v>
      </c>
      <c r="M10" s="20">
        <v>24.1</v>
      </c>
      <c r="N10" s="20">
        <v>28.45</v>
      </c>
      <c r="O10" s="20">
        <v>31.09</v>
      </c>
      <c r="P10" s="16">
        <v>37490.0</v>
      </c>
      <c r="Q10" s="16">
        <v>45300.0</v>
      </c>
      <c r="R10" s="16">
        <v>50120.0</v>
      </c>
      <c r="S10" s="16">
        <v>59180.0</v>
      </c>
      <c r="T10" s="16">
        <v>64660.0</v>
      </c>
      <c r="U10" s="16">
        <f t="shared" si="3"/>
        <v>1.08</v>
      </c>
      <c r="V10" s="21">
        <f t="shared" si="4"/>
        <v>4.481327801</v>
      </c>
      <c r="W10" s="22">
        <f t="shared" si="5"/>
        <v>1.724348308</v>
      </c>
      <c r="X10" s="23" t="str">
        <f t="shared" si="6"/>
        <v>OK</v>
      </c>
      <c r="Y10" s="16"/>
      <c r="Z10" s="16"/>
      <c r="AA10" s="16"/>
    </row>
    <row r="11" ht="15.75" customHeight="1">
      <c r="A11" s="14" t="s">
        <v>59</v>
      </c>
      <c r="B11" s="15" t="s">
        <v>60</v>
      </c>
      <c r="C11" s="16">
        <v>21010.0</v>
      </c>
      <c r="D11" s="17">
        <v>3.3</v>
      </c>
      <c r="E11" s="18" t="str">
        <f t="shared" si="1"/>
        <v>Low</v>
      </c>
      <c r="F11" s="19">
        <v>4.415</v>
      </c>
      <c r="G11" s="20">
        <v>27.85</v>
      </c>
      <c r="H11" s="16">
        <v>57930.0</v>
      </c>
      <c r="I11" s="17">
        <v>1.0</v>
      </c>
      <c r="J11" s="18" t="str">
        <f t="shared" si="2"/>
        <v>Low</v>
      </c>
      <c r="K11" s="20">
        <v>17.75</v>
      </c>
      <c r="L11" s="20">
        <v>21.97</v>
      </c>
      <c r="M11" s="20">
        <v>26.59</v>
      </c>
      <c r="N11" s="20">
        <v>33.34</v>
      </c>
      <c r="O11" s="20">
        <v>38.47</v>
      </c>
      <c r="P11" s="16">
        <v>36920.0</v>
      </c>
      <c r="Q11" s="16">
        <v>45700.0</v>
      </c>
      <c r="R11" s="16">
        <v>55300.0</v>
      </c>
      <c r="S11" s="16">
        <v>69350.0</v>
      </c>
      <c r="T11" s="16">
        <v>80020.0</v>
      </c>
      <c r="U11" s="16">
        <f t="shared" si="3"/>
        <v>1.26</v>
      </c>
      <c r="V11" s="21">
        <f t="shared" si="4"/>
        <v>4.738623543</v>
      </c>
      <c r="W11" s="22">
        <f t="shared" si="5"/>
        <v>2.167323944</v>
      </c>
      <c r="X11" s="23" t="str">
        <f t="shared" si="6"/>
        <v>OK</v>
      </c>
      <c r="Y11" s="16"/>
      <c r="Z11" s="16"/>
      <c r="AA11" s="16"/>
    </row>
    <row r="12" ht="15.75" customHeight="1">
      <c r="A12" s="14" t="s">
        <v>61</v>
      </c>
      <c r="B12" s="15" t="s">
        <v>62</v>
      </c>
      <c r="C12" s="16">
        <v>3300.0</v>
      </c>
      <c r="D12" s="17">
        <v>6.1</v>
      </c>
      <c r="E12" s="18" t="str">
        <f t="shared" si="1"/>
        <v>Moderate</v>
      </c>
      <c r="F12" s="19">
        <v>5.351</v>
      </c>
      <c r="G12" s="20">
        <v>42.44</v>
      </c>
      <c r="H12" s="16">
        <v>88280.0</v>
      </c>
      <c r="I12" s="17">
        <v>1.7</v>
      </c>
      <c r="J12" s="18" t="str">
        <f t="shared" si="2"/>
        <v>Low</v>
      </c>
      <c r="K12" s="20">
        <v>21.2</v>
      </c>
      <c r="L12" s="20">
        <v>31.06</v>
      </c>
      <c r="M12" s="20">
        <v>44.59</v>
      </c>
      <c r="N12" s="20">
        <v>54.19</v>
      </c>
      <c r="O12" s="20">
        <v>57.0</v>
      </c>
      <c r="P12" s="16">
        <v>44100.0</v>
      </c>
      <c r="Q12" s="16">
        <v>64600.0</v>
      </c>
      <c r="R12" s="16">
        <v>92750.0</v>
      </c>
      <c r="S12" s="16">
        <v>112710.0</v>
      </c>
      <c r="T12" s="16">
        <v>118560.0</v>
      </c>
      <c r="U12" s="16">
        <f t="shared" si="3"/>
        <v>-2.15</v>
      </c>
      <c r="V12" s="21">
        <f t="shared" si="4"/>
        <v>-4.821708903</v>
      </c>
      <c r="W12" s="22">
        <f t="shared" si="5"/>
        <v>2.688679245</v>
      </c>
      <c r="X12" s="23" t="str">
        <f t="shared" si="6"/>
        <v>OK</v>
      </c>
      <c r="Y12" s="16"/>
      <c r="Z12" s="16"/>
      <c r="AA12" s="16"/>
    </row>
    <row r="13" ht="15.75" customHeight="1">
      <c r="A13" s="14" t="s">
        <v>63</v>
      </c>
      <c r="B13" s="15" t="s">
        <v>64</v>
      </c>
      <c r="C13" s="16">
        <v>5050.0</v>
      </c>
      <c r="D13" s="17">
        <v>4.2</v>
      </c>
      <c r="E13" s="18" t="str">
        <f t="shared" si="1"/>
        <v>Low</v>
      </c>
      <c r="F13" s="19">
        <v>6.138</v>
      </c>
      <c r="G13" s="20">
        <v>26.56</v>
      </c>
      <c r="H13" s="16">
        <v>55240.0</v>
      </c>
      <c r="I13" s="17">
        <v>1.1</v>
      </c>
      <c r="J13" s="18" t="str">
        <f t="shared" si="2"/>
        <v>Low</v>
      </c>
      <c r="K13" s="20">
        <v>18.2</v>
      </c>
      <c r="L13" s="20">
        <v>19.41</v>
      </c>
      <c r="M13" s="20">
        <v>23.71</v>
      </c>
      <c r="N13" s="20">
        <v>31.95</v>
      </c>
      <c r="O13" s="20">
        <v>37.4</v>
      </c>
      <c r="P13" s="16">
        <v>37860.0</v>
      </c>
      <c r="Q13" s="16">
        <v>40360.0</v>
      </c>
      <c r="R13" s="16">
        <v>49310.0</v>
      </c>
      <c r="S13" s="16">
        <v>66450.0</v>
      </c>
      <c r="T13" s="16">
        <v>77800.0</v>
      </c>
      <c r="U13" s="16">
        <f t="shared" si="3"/>
        <v>2.85</v>
      </c>
      <c r="V13" s="21">
        <f t="shared" si="4"/>
        <v>12.02024462</v>
      </c>
      <c r="W13" s="22">
        <f t="shared" si="5"/>
        <v>2.054945055</v>
      </c>
      <c r="X13" s="23" t="str">
        <f t="shared" si="6"/>
        <v>OK</v>
      </c>
      <c r="Y13" s="16"/>
      <c r="Z13" s="16"/>
      <c r="AA13" s="16"/>
    </row>
    <row r="14" ht="15.75" customHeight="1">
      <c r="A14" s="14" t="s">
        <v>65</v>
      </c>
      <c r="B14" s="15" t="s">
        <v>66</v>
      </c>
      <c r="C14" s="16">
        <v>21890.0</v>
      </c>
      <c r="D14" s="17">
        <v>4.3</v>
      </c>
      <c r="E14" s="18" t="str">
        <f t="shared" si="1"/>
        <v>Low</v>
      </c>
      <c r="F14" s="19">
        <v>3.641</v>
      </c>
      <c r="G14" s="20">
        <v>42.33</v>
      </c>
      <c r="H14" s="16">
        <v>88040.0</v>
      </c>
      <c r="I14" s="17">
        <v>1.5</v>
      </c>
      <c r="J14" s="18" t="str">
        <f t="shared" si="2"/>
        <v>Low</v>
      </c>
      <c r="K14" s="20">
        <v>23.16</v>
      </c>
      <c r="L14" s="20">
        <v>34.51</v>
      </c>
      <c r="M14" s="20">
        <v>45.72</v>
      </c>
      <c r="N14" s="20">
        <v>51.01</v>
      </c>
      <c r="O14" s="20">
        <v>55.93</v>
      </c>
      <c r="P14" s="16">
        <v>48170.0</v>
      </c>
      <c r="Q14" s="16">
        <v>71770.0</v>
      </c>
      <c r="R14" s="16">
        <v>95090.0</v>
      </c>
      <c r="S14" s="16">
        <v>106090.0</v>
      </c>
      <c r="T14" s="16">
        <v>116330.0</v>
      </c>
      <c r="U14" s="16">
        <f t="shared" si="3"/>
        <v>-3.39</v>
      </c>
      <c r="V14" s="21">
        <f t="shared" si="4"/>
        <v>-7.414698163</v>
      </c>
      <c r="W14" s="22">
        <f t="shared" si="5"/>
        <v>2.414939551</v>
      </c>
      <c r="X14" s="23" t="str">
        <f t="shared" si="6"/>
        <v>OK</v>
      </c>
      <c r="Y14" s="16"/>
      <c r="Z14" s="16"/>
      <c r="AA14" s="16"/>
    </row>
    <row r="15" ht="15.75" customHeight="1">
      <c r="A15" s="14" t="s">
        <v>67</v>
      </c>
      <c r="B15" s="15" t="s">
        <v>68</v>
      </c>
      <c r="C15" s="16">
        <v>15650.0</v>
      </c>
      <c r="D15" s="17">
        <v>2.1</v>
      </c>
      <c r="E15" s="18" t="str">
        <f t="shared" si="1"/>
        <v>Low</v>
      </c>
      <c r="F15" s="19">
        <v>4.958</v>
      </c>
      <c r="G15" s="20">
        <v>32.91</v>
      </c>
      <c r="H15" s="16">
        <v>68450.0</v>
      </c>
      <c r="I15" s="17">
        <v>0.8</v>
      </c>
      <c r="J15" s="18" t="str">
        <f t="shared" si="2"/>
        <v>Low</v>
      </c>
      <c r="K15" s="20">
        <v>19.0</v>
      </c>
      <c r="L15" s="20">
        <v>24.25</v>
      </c>
      <c r="M15" s="20">
        <v>32.73</v>
      </c>
      <c r="N15" s="20">
        <v>39.65</v>
      </c>
      <c r="O15" s="20">
        <v>45.03</v>
      </c>
      <c r="P15" s="16">
        <v>39520.0</v>
      </c>
      <c r="Q15" s="16">
        <v>50440.0</v>
      </c>
      <c r="R15" s="16">
        <v>68070.0</v>
      </c>
      <c r="S15" s="16">
        <v>82460.0</v>
      </c>
      <c r="T15" s="16">
        <v>93660.0</v>
      </c>
      <c r="U15" s="16">
        <f t="shared" si="3"/>
        <v>0.18</v>
      </c>
      <c r="V15" s="21">
        <f t="shared" si="4"/>
        <v>0.5499541705</v>
      </c>
      <c r="W15" s="22">
        <f t="shared" si="5"/>
        <v>2.37</v>
      </c>
      <c r="X15" s="23" t="str">
        <f t="shared" si="6"/>
        <v>OK</v>
      </c>
      <c r="Y15" s="16"/>
      <c r="Z15" s="16"/>
      <c r="AA15" s="16"/>
    </row>
    <row r="16" ht="15.75" customHeight="1">
      <c r="A16" s="14" t="s">
        <v>69</v>
      </c>
      <c r="B16" s="15" t="s">
        <v>70</v>
      </c>
      <c r="C16" s="16">
        <v>7450.0</v>
      </c>
      <c r="D16" s="17">
        <v>3.2</v>
      </c>
      <c r="E16" s="18" t="str">
        <f t="shared" si="1"/>
        <v>Low</v>
      </c>
      <c r="F16" s="19">
        <v>4.825</v>
      </c>
      <c r="G16" s="20">
        <v>30.68</v>
      </c>
      <c r="H16" s="16">
        <v>63810.0</v>
      </c>
      <c r="I16" s="17">
        <v>1.5</v>
      </c>
      <c r="J16" s="18" t="str">
        <f t="shared" si="2"/>
        <v>Low</v>
      </c>
      <c r="K16" s="20">
        <v>18.69</v>
      </c>
      <c r="L16" s="20">
        <v>22.88</v>
      </c>
      <c r="M16" s="20">
        <v>30.61</v>
      </c>
      <c r="N16" s="20">
        <v>38.15</v>
      </c>
      <c r="O16" s="20">
        <v>40.82</v>
      </c>
      <c r="P16" s="16">
        <v>38870.0</v>
      </c>
      <c r="Q16" s="16">
        <v>47580.0</v>
      </c>
      <c r="R16" s="16">
        <v>63670.0</v>
      </c>
      <c r="S16" s="16">
        <v>79350.0</v>
      </c>
      <c r="T16" s="16">
        <v>84900.0</v>
      </c>
      <c r="U16" s="16">
        <f t="shared" si="3"/>
        <v>0.07</v>
      </c>
      <c r="V16" s="21">
        <f t="shared" si="4"/>
        <v>0.2286834368</v>
      </c>
      <c r="W16" s="22">
        <f t="shared" si="5"/>
        <v>2.184055645</v>
      </c>
      <c r="X16" s="23" t="str">
        <f t="shared" si="6"/>
        <v>OK</v>
      </c>
      <c r="Y16" s="16"/>
      <c r="Z16" s="16"/>
      <c r="AA16" s="16"/>
    </row>
    <row r="17" ht="15.75" customHeight="1">
      <c r="A17" s="14" t="s">
        <v>71</v>
      </c>
      <c r="B17" s="15" t="s">
        <v>72</v>
      </c>
      <c r="C17" s="16">
        <v>5820.0</v>
      </c>
      <c r="D17" s="17">
        <v>3.1</v>
      </c>
      <c r="E17" s="18" t="str">
        <f t="shared" si="1"/>
        <v>Low</v>
      </c>
      <c r="F17" s="19">
        <v>4.122</v>
      </c>
      <c r="G17" s="20">
        <v>29.85</v>
      </c>
      <c r="H17" s="16">
        <v>62080.0</v>
      </c>
      <c r="I17" s="17">
        <v>1.0</v>
      </c>
      <c r="J17" s="18" t="str">
        <f t="shared" si="2"/>
        <v>Low</v>
      </c>
      <c r="K17" s="20">
        <v>17.92</v>
      </c>
      <c r="L17" s="20">
        <v>22.39</v>
      </c>
      <c r="M17" s="20">
        <v>28.79</v>
      </c>
      <c r="N17" s="20">
        <v>36.97</v>
      </c>
      <c r="O17" s="20">
        <v>42.75</v>
      </c>
      <c r="P17" s="16">
        <v>37270.0</v>
      </c>
      <c r="Q17" s="16">
        <v>46580.0</v>
      </c>
      <c r="R17" s="16">
        <v>59880.0</v>
      </c>
      <c r="S17" s="16">
        <v>76910.0</v>
      </c>
      <c r="T17" s="16">
        <v>88920.0</v>
      </c>
      <c r="U17" s="16">
        <f t="shared" si="3"/>
        <v>1.06</v>
      </c>
      <c r="V17" s="21">
        <f t="shared" si="4"/>
        <v>3.68183397</v>
      </c>
      <c r="W17" s="22">
        <f t="shared" si="5"/>
        <v>2.385602679</v>
      </c>
      <c r="X17" s="23" t="str">
        <f t="shared" si="6"/>
        <v>OK</v>
      </c>
      <c r="Y17" s="16"/>
      <c r="Z17" s="16"/>
      <c r="AA17" s="16"/>
    </row>
    <row r="18" ht="15.75" customHeight="1">
      <c r="A18" s="14" t="s">
        <v>73</v>
      </c>
      <c r="B18" s="15" t="s">
        <v>74</v>
      </c>
      <c r="C18" s="16">
        <v>9620.0</v>
      </c>
      <c r="D18" s="17">
        <v>3.3</v>
      </c>
      <c r="E18" s="18" t="str">
        <f t="shared" si="1"/>
        <v>Low</v>
      </c>
      <c r="F18" s="19">
        <v>4.901</v>
      </c>
      <c r="G18" s="20">
        <v>28.18</v>
      </c>
      <c r="H18" s="16">
        <v>58610.0</v>
      </c>
      <c r="I18" s="17">
        <v>1.1</v>
      </c>
      <c r="J18" s="18" t="str">
        <f t="shared" si="2"/>
        <v>Low</v>
      </c>
      <c r="K18" s="20">
        <v>17.15</v>
      </c>
      <c r="L18" s="20">
        <v>22.05</v>
      </c>
      <c r="M18" s="20">
        <v>27.47</v>
      </c>
      <c r="N18" s="20">
        <v>35.73</v>
      </c>
      <c r="O18" s="20">
        <v>38.71</v>
      </c>
      <c r="P18" s="16">
        <v>35680.0</v>
      </c>
      <c r="Q18" s="16">
        <v>45870.0</v>
      </c>
      <c r="R18" s="16">
        <v>57140.0</v>
      </c>
      <c r="S18" s="16">
        <v>74310.0</v>
      </c>
      <c r="T18" s="16">
        <v>80520.0</v>
      </c>
      <c r="U18" s="16">
        <f t="shared" si="3"/>
        <v>0.71</v>
      </c>
      <c r="V18" s="21">
        <f t="shared" si="4"/>
        <v>2.584637787</v>
      </c>
      <c r="W18" s="22">
        <f t="shared" si="5"/>
        <v>2.257142857</v>
      </c>
      <c r="X18" s="23" t="str">
        <f t="shared" si="6"/>
        <v>OK</v>
      </c>
      <c r="Y18" s="16"/>
      <c r="Z18" s="16"/>
      <c r="AA18" s="16"/>
    </row>
    <row r="19" ht="15.75" customHeight="1">
      <c r="A19" s="14" t="s">
        <v>75</v>
      </c>
      <c r="B19" s="15" t="s">
        <v>76</v>
      </c>
      <c r="C19" s="16">
        <v>11100.0</v>
      </c>
      <c r="D19" s="17">
        <v>2.8</v>
      </c>
      <c r="E19" s="18" t="str">
        <f t="shared" si="1"/>
        <v>Low</v>
      </c>
      <c r="F19" s="19">
        <v>5.995</v>
      </c>
      <c r="G19" s="20">
        <v>27.88</v>
      </c>
      <c r="H19" s="16">
        <v>57990.0</v>
      </c>
      <c r="I19" s="17">
        <v>0.9</v>
      </c>
      <c r="J19" s="18" t="str">
        <f t="shared" si="2"/>
        <v>Low</v>
      </c>
      <c r="K19" s="20">
        <v>17.38</v>
      </c>
      <c r="L19" s="20">
        <v>22.69</v>
      </c>
      <c r="M19" s="20">
        <v>28.49</v>
      </c>
      <c r="N19" s="20">
        <v>30.94</v>
      </c>
      <c r="O19" s="20">
        <v>37.0</v>
      </c>
      <c r="P19" s="16">
        <v>36140.0</v>
      </c>
      <c r="Q19" s="16">
        <v>47200.0</v>
      </c>
      <c r="R19" s="16">
        <v>59260.0</v>
      </c>
      <c r="S19" s="16">
        <v>64360.0</v>
      </c>
      <c r="T19" s="16">
        <v>76960.0</v>
      </c>
      <c r="U19" s="16">
        <f t="shared" si="3"/>
        <v>-0.61</v>
      </c>
      <c r="V19" s="21">
        <f t="shared" si="4"/>
        <v>-2.141102141</v>
      </c>
      <c r="W19" s="22">
        <f t="shared" si="5"/>
        <v>2.128883774</v>
      </c>
      <c r="X19" s="23" t="str">
        <f t="shared" si="6"/>
        <v>OK</v>
      </c>
      <c r="Y19" s="16"/>
      <c r="Z19" s="16"/>
      <c r="AA19" s="16"/>
    </row>
    <row r="20" ht="15.75" customHeight="1">
      <c r="A20" s="14" t="s">
        <v>77</v>
      </c>
      <c r="B20" s="15" t="s">
        <v>78</v>
      </c>
      <c r="C20" s="16">
        <v>3380.0</v>
      </c>
      <c r="D20" s="17">
        <v>3.4</v>
      </c>
      <c r="E20" s="18" t="str">
        <f t="shared" si="1"/>
        <v>Low</v>
      </c>
      <c r="F20" s="19">
        <v>5.44</v>
      </c>
      <c r="G20" s="20">
        <v>31.21</v>
      </c>
      <c r="H20" s="16">
        <v>64920.0</v>
      </c>
      <c r="I20" s="17">
        <v>1.7</v>
      </c>
      <c r="J20" s="18" t="str">
        <f t="shared" si="2"/>
        <v>Low</v>
      </c>
      <c r="K20" s="20">
        <v>22.78</v>
      </c>
      <c r="L20" s="20">
        <v>25.88</v>
      </c>
      <c r="M20" s="20">
        <v>29.79</v>
      </c>
      <c r="N20" s="20">
        <v>35.37</v>
      </c>
      <c r="O20" s="20">
        <v>38.47</v>
      </c>
      <c r="P20" s="16">
        <v>47390.0</v>
      </c>
      <c r="Q20" s="16">
        <v>53820.0</v>
      </c>
      <c r="R20" s="16">
        <v>61970.0</v>
      </c>
      <c r="S20" s="16">
        <v>73570.0</v>
      </c>
      <c r="T20" s="16">
        <v>80010.0</v>
      </c>
      <c r="U20" s="16">
        <f t="shared" si="3"/>
        <v>1.42</v>
      </c>
      <c r="V20" s="21">
        <f t="shared" si="4"/>
        <v>4.766700235</v>
      </c>
      <c r="W20" s="22">
        <f t="shared" si="5"/>
        <v>1.688762072</v>
      </c>
      <c r="X20" s="23" t="str">
        <f t="shared" si="6"/>
        <v>OK</v>
      </c>
      <c r="Y20" s="16"/>
      <c r="Z20" s="16"/>
      <c r="AA20" s="16"/>
    </row>
    <row r="21" ht="15.75" customHeight="1">
      <c r="A21" s="14" t="s">
        <v>79</v>
      </c>
      <c r="B21" s="15" t="s">
        <v>80</v>
      </c>
      <c r="C21" s="16">
        <v>12930.0</v>
      </c>
      <c r="D21" s="17">
        <v>5.1</v>
      </c>
      <c r="E21" s="18" t="str">
        <f t="shared" si="1"/>
        <v>Moderate</v>
      </c>
      <c r="F21" s="19">
        <v>4.827</v>
      </c>
      <c r="G21" s="20">
        <v>33.22</v>
      </c>
      <c r="H21" s="16">
        <v>69100.0</v>
      </c>
      <c r="I21" s="17">
        <v>1.6</v>
      </c>
      <c r="J21" s="18" t="str">
        <f t="shared" si="2"/>
        <v>Low</v>
      </c>
      <c r="K21" s="20">
        <v>19.0</v>
      </c>
      <c r="L21" s="20">
        <v>23.71</v>
      </c>
      <c r="M21" s="20">
        <v>30.3</v>
      </c>
      <c r="N21" s="20">
        <v>39.52</v>
      </c>
      <c r="O21" s="20">
        <v>51.74</v>
      </c>
      <c r="P21" s="16">
        <v>39520.0</v>
      </c>
      <c r="Q21" s="16">
        <v>49310.0</v>
      </c>
      <c r="R21" s="16">
        <v>63030.0</v>
      </c>
      <c r="S21" s="16">
        <v>82210.0</v>
      </c>
      <c r="T21" s="16">
        <v>107610.0</v>
      </c>
      <c r="U21" s="16">
        <f t="shared" si="3"/>
        <v>2.92</v>
      </c>
      <c r="V21" s="21">
        <f t="shared" si="4"/>
        <v>9.636963696</v>
      </c>
      <c r="W21" s="22">
        <f t="shared" si="5"/>
        <v>2.723157895</v>
      </c>
      <c r="X21" s="23" t="str">
        <f t="shared" si="6"/>
        <v>OK</v>
      </c>
      <c r="Y21" s="16"/>
      <c r="Z21" s="16"/>
      <c r="AA21" s="16"/>
    </row>
    <row r="22" ht="15.75" customHeight="1">
      <c r="A22" s="14" t="s">
        <v>81</v>
      </c>
      <c r="B22" s="15" t="s">
        <v>82</v>
      </c>
      <c r="C22" s="16">
        <v>19140.0</v>
      </c>
      <c r="D22" s="17">
        <v>3.5</v>
      </c>
      <c r="E22" s="18" t="str">
        <f t="shared" si="1"/>
        <v>Low</v>
      </c>
      <c r="F22" s="19">
        <v>5.253</v>
      </c>
      <c r="G22" s="20">
        <v>39.35</v>
      </c>
      <c r="H22" s="16">
        <v>81840.0</v>
      </c>
      <c r="I22" s="17">
        <v>1.9</v>
      </c>
      <c r="J22" s="18" t="str">
        <f t="shared" si="2"/>
        <v>Low</v>
      </c>
      <c r="K22" s="20">
        <v>22.98</v>
      </c>
      <c r="L22" s="20">
        <v>27.92</v>
      </c>
      <c r="M22" s="20">
        <v>39.02</v>
      </c>
      <c r="N22" s="20">
        <v>47.44</v>
      </c>
      <c r="O22" s="20">
        <v>60.12</v>
      </c>
      <c r="P22" s="16">
        <v>47790.0</v>
      </c>
      <c r="Q22" s="16">
        <v>58080.0</v>
      </c>
      <c r="R22" s="16">
        <v>81170.0</v>
      </c>
      <c r="S22" s="16">
        <v>98680.0</v>
      </c>
      <c r="T22" s="16">
        <v>125040.0</v>
      </c>
      <c r="U22" s="16">
        <f t="shared" si="3"/>
        <v>0.33</v>
      </c>
      <c r="V22" s="21">
        <f t="shared" si="4"/>
        <v>0.8457201435</v>
      </c>
      <c r="W22" s="22">
        <f t="shared" si="5"/>
        <v>2.61618799</v>
      </c>
      <c r="X22" s="23" t="str">
        <f t="shared" si="6"/>
        <v>OK</v>
      </c>
      <c r="Y22" s="16"/>
      <c r="Z22" s="16"/>
      <c r="AA22" s="16"/>
    </row>
    <row r="23" ht="15.75" customHeight="1">
      <c r="A23" s="14" t="s">
        <v>83</v>
      </c>
      <c r="B23" s="15" t="s">
        <v>84</v>
      </c>
      <c r="C23" s="16">
        <v>24240.0</v>
      </c>
      <c r="D23" s="17">
        <v>1.9</v>
      </c>
      <c r="E23" s="18" t="str">
        <f t="shared" si="1"/>
        <v>Low</v>
      </c>
      <c r="F23" s="19">
        <v>5.576</v>
      </c>
      <c r="G23" s="20">
        <v>31.67</v>
      </c>
      <c r="H23" s="16">
        <v>65870.0</v>
      </c>
      <c r="I23" s="17">
        <v>1.1</v>
      </c>
      <c r="J23" s="18" t="str">
        <f t="shared" si="2"/>
        <v>Low</v>
      </c>
      <c r="K23" s="20">
        <v>18.35</v>
      </c>
      <c r="L23" s="20">
        <v>23.21</v>
      </c>
      <c r="M23" s="20">
        <v>30.28</v>
      </c>
      <c r="N23" s="20">
        <v>38.68</v>
      </c>
      <c r="O23" s="20">
        <v>45.31</v>
      </c>
      <c r="P23" s="16">
        <v>38160.0</v>
      </c>
      <c r="Q23" s="16">
        <v>48270.0</v>
      </c>
      <c r="R23" s="16">
        <v>62980.0</v>
      </c>
      <c r="S23" s="16">
        <v>80450.0</v>
      </c>
      <c r="T23" s="16">
        <v>94240.0</v>
      </c>
      <c r="U23" s="16">
        <f t="shared" si="3"/>
        <v>1.39</v>
      </c>
      <c r="V23" s="21">
        <f t="shared" si="4"/>
        <v>4.590488771</v>
      </c>
      <c r="W23" s="22">
        <f t="shared" si="5"/>
        <v>2.469209809</v>
      </c>
      <c r="X23" s="23" t="str">
        <f t="shared" si="6"/>
        <v>OK</v>
      </c>
      <c r="Y23" s="16"/>
      <c r="Z23" s="16"/>
      <c r="AA23" s="16"/>
    </row>
    <row r="24" ht="15.75" customHeight="1">
      <c r="A24" s="14" t="s">
        <v>85</v>
      </c>
      <c r="B24" s="15" t="s">
        <v>86</v>
      </c>
      <c r="C24" s="16">
        <v>11280.0</v>
      </c>
      <c r="D24" s="17">
        <v>5.3</v>
      </c>
      <c r="E24" s="18" t="str">
        <f t="shared" si="1"/>
        <v>Moderate</v>
      </c>
      <c r="F24" s="19">
        <v>3.915</v>
      </c>
      <c r="G24" s="20">
        <v>37.88</v>
      </c>
      <c r="H24" s="16">
        <v>78790.0</v>
      </c>
      <c r="I24" s="17">
        <v>1.5</v>
      </c>
      <c r="J24" s="18" t="str">
        <f t="shared" si="2"/>
        <v>Low</v>
      </c>
      <c r="K24" s="20">
        <v>22.57</v>
      </c>
      <c r="L24" s="20">
        <v>29.3</v>
      </c>
      <c r="M24" s="20">
        <v>37.52</v>
      </c>
      <c r="N24" s="20">
        <v>47.53</v>
      </c>
      <c r="O24" s="20">
        <v>52.63</v>
      </c>
      <c r="P24" s="16">
        <v>46950.0</v>
      </c>
      <c r="Q24" s="16">
        <v>60950.0</v>
      </c>
      <c r="R24" s="16">
        <v>78050.0</v>
      </c>
      <c r="S24" s="16">
        <v>98870.0</v>
      </c>
      <c r="T24" s="16">
        <v>109470.0</v>
      </c>
      <c r="U24" s="16">
        <f t="shared" si="3"/>
        <v>0.36</v>
      </c>
      <c r="V24" s="21">
        <f t="shared" si="4"/>
        <v>0.9594882729</v>
      </c>
      <c r="W24" s="22">
        <f t="shared" si="5"/>
        <v>2.331856447</v>
      </c>
      <c r="X24" s="23" t="str">
        <f t="shared" si="6"/>
        <v>OK</v>
      </c>
      <c r="Y24" s="16"/>
      <c r="Z24" s="16"/>
      <c r="AA24" s="16"/>
    </row>
    <row r="25" ht="15.75" customHeight="1">
      <c r="A25" s="14" t="s">
        <v>87</v>
      </c>
      <c r="B25" s="15" t="s">
        <v>88</v>
      </c>
      <c r="C25" s="16">
        <v>5040.0</v>
      </c>
      <c r="D25" s="17">
        <v>3.2</v>
      </c>
      <c r="E25" s="18" t="str">
        <f t="shared" si="1"/>
        <v>Low</v>
      </c>
      <c r="F25" s="19">
        <v>4.386</v>
      </c>
      <c r="G25" s="20">
        <v>27.39</v>
      </c>
      <c r="H25" s="16">
        <v>56980.0</v>
      </c>
      <c r="I25" s="17">
        <v>1.3</v>
      </c>
      <c r="J25" s="18" t="str">
        <f t="shared" si="2"/>
        <v>Low</v>
      </c>
      <c r="K25" s="20">
        <v>17.57</v>
      </c>
      <c r="L25" s="20">
        <v>21.45</v>
      </c>
      <c r="M25" s="20">
        <v>28.16</v>
      </c>
      <c r="N25" s="20">
        <v>31.78</v>
      </c>
      <c r="O25" s="20">
        <v>35.33</v>
      </c>
      <c r="P25" s="16">
        <v>36550.0</v>
      </c>
      <c r="Q25" s="16">
        <v>44610.0</v>
      </c>
      <c r="R25" s="16">
        <v>58580.0</v>
      </c>
      <c r="S25" s="16">
        <v>66100.0</v>
      </c>
      <c r="T25" s="16">
        <v>73490.0</v>
      </c>
      <c r="U25" s="16">
        <f t="shared" si="3"/>
        <v>-0.77</v>
      </c>
      <c r="V25" s="21">
        <f t="shared" si="4"/>
        <v>-2.734375</v>
      </c>
      <c r="W25" s="22">
        <f t="shared" si="5"/>
        <v>2.010813887</v>
      </c>
      <c r="X25" s="23" t="str">
        <f t="shared" si="6"/>
        <v>OK</v>
      </c>
      <c r="Y25" s="16"/>
      <c r="Z25" s="16"/>
      <c r="AA25" s="16"/>
    </row>
    <row r="26" ht="15.75" customHeight="1">
      <c r="A26" s="14" t="s">
        <v>89</v>
      </c>
      <c r="B26" s="15" t="s">
        <v>90</v>
      </c>
      <c r="C26" s="16">
        <v>12390.0</v>
      </c>
      <c r="D26" s="17">
        <v>5.4</v>
      </c>
      <c r="E26" s="18" t="str">
        <f t="shared" si="1"/>
        <v>Moderate</v>
      </c>
      <c r="F26" s="19">
        <v>4.309</v>
      </c>
      <c r="G26" s="20">
        <v>32.62</v>
      </c>
      <c r="H26" s="16">
        <v>67850.0</v>
      </c>
      <c r="I26" s="17">
        <v>2.3</v>
      </c>
      <c r="J26" s="18" t="str">
        <f t="shared" si="2"/>
        <v>Moderate</v>
      </c>
      <c r="K26" s="20">
        <v>18.07</v>
      </c>
      <c r="L26" s="20">
        <v>22.98</v>
      </c>
      <c r="M26" s="20">
        <v>30.11</v>
      </c>
      <c r="N26" s="20">
        <v>39.58</v>
      </c>
      <c r="O26" s="20">
        <v>47.13</v>
      </c>
      <c r="P26" s="16">
        <v>37580.0</v>
      </c>
      <c r="Q26" s="16">
        <v>47810.0</v>
      </c>
      <c r="R26" s="16">
        <v>62640.0</v>
      </c>
      <c r="S26" s="16">
        <v>82330.0</v>
      </c>
      <c r="T26" s="16">
        <v>98030.0</v>
      </c>
      <c r="U26" s="16">
        <f t="shared" si="3"/>
        <v>2.51</v>
      </c>
      <c r="V26" s="21">
        <f t="shared" si="4"/>
        <v>8.336100963</v>
      </c>
      <c r="W26" s="22">
        <f t="shared" si="5"/>
        <v>2.608190371</v>
      </c>
      <c r="X26" s="23" t="str">
        <f t="shared" si="6"/>
        <v>OK</v>
      </c>
      <c r="Y26" s="16"/>
      <c r="Z26" s="16"/>
      <c r="AA26" s="16"/>
    </row>
    <row r="27" ht="15.75" customHeight="1">
      <c r="A27" s="14" t="s">
        <v>91</v>
      </c>
      <c r="B27" s="15" t="s">
        <v>92</v>
      </c>
      <c r="C27" s="16">
        <v>2890.0</v>
      </c>
      <c r="D27" s="17">
        <v>3.4</v>
      </c>
      <c r="E27" s="18" t="str">
        <f t="shared" si="1"/>
        <v>Low</v>
      </c>
      <c r="F27" s="19">
        <v>5.766</v>
      </c>
      <c r="G27" s="20">
        <v>31.22</v>
      </c>
      <c r="H27" s="16">
        <v>64940.0</v>
      </c>
      <c r="I27" s="17">
        <v>1.2</v>
      </c>
      <c r="J27" s="18" t="str">
        <f t="shared" si="2"/>
        <v>Low</v>
      </c>
      <c r="K27" s="20">
        <v>21.98</v>
      </c>
      <c r="L27" s="20">
        <v>23.56</v>
      </c>
      <c r="M27" s="20">
        <v>31.05</v>
      </c>
      <c r="N27" s="20">
        <v>36.9</v>
      </c>
      <c r="O27" s="20">
        <v>42.64</v>
      </c>
      <c r="P27" s="16">
        <v>45730.0</v>
      </c>
      <c r="Q27" s="16">
        <v>49000.0</v>
      </c>
      <c r="R27" s="16">
        <v>64590.0</v>
      </c>
      <c r="S27" s="16">
        <v>76760.0</v>
      </c>
      <c r="T27" s="16">
        <v>88680.0</v>
      </c>
      <c r="U27" s="16">
        <f t="shared" si="3"/>
        <v>0.17</v>
      </c>
      <c r="V27" s="21">
        <f t="shared" si="4"/>
        <v>0.5475040258</v>
      </c>
      <c r="W27" s="22">
        <f t="shared" si="5"/>
        <v>1.939945405</v>
      </c>
      <c r="X27" s="23" t="str">
        <f t="shared" si="6"/>
        <v>OK</v>
      </c>
      <c r="Y27" s="16"/>
      <c r="Z27" s="16"/>
      <c r="AA27" s="16"/>
    </row>
    <row r="28" ht="15.75" customHeight="1">
      <c r="A28" s="14" t="s">
        <v>93</v>
      </c>
      <c r="B28" s="15" t="s">
        <v>94</v>
      </c>
      <c r="C28" s="16">
        <v>6160.0</v>
      </c>
      <c r="D28" s="17">
        <v>4.7</v>
      </c>
      <c r="E28" s="18" t="str">
        <f t="shared" si="1"/>
        <v>Low</v>
      </c>
      <c r="F28" s="19">
        <v>6.152</v>
      </c>
      <c r="G28" s="20">
        <v>28.79</v>
      </c>
      <c r="H28" s="16">
        <v>59890.0</v>
      </c>
      <c r="I28" s="17">
        <v>1.3</v>
      </c>
      <c r="J28" s="18" t="str">
        <f t="shared" si="2"/>
        <v>Low</v>
      </c>
      <c r="K28" s="20">
        <v>18.39</v>
      </c>
      <c r="L28" s="20">
        <v>22.41</v>
      </c>
      <c r="M28" s="20">
        <v>28.68</v>
      </c>
      <c r="N28" s="20">
        <v>36.4</v>
      </c>
      <c r="O28" s="20">
        <v>42.0</v>
      </c>
      <c r="P28" s="16">
        <v>38250.0</v>
      </c>
      <c r="Q28" s="16">
        <v>46610.0</v>
      </c>
      <c r="R28" s="16">
        <v>59660.0</v>
      </c>
      <c r="S28" s="16">
        <v>75710.0</v>
      </c>
      <c r="T28" s="16">
        <v>87360.0</v>
      </c>
      <c r="U28" s="16">
        <f t="shared" si="3"/>
        <v>0.11</v>
      </c>
      <c r="V28" s="21">
        <f t="shared" si="4"/>
        <v>0.3835425384</v>
      </c>
      <c r="W28" s="22">
        <f t="shared" si="5"/>
        <v>2.283849918</v>
      </c>
      <c r="X28" s="23" t="str">
        <f t="shared" si="6"/>
        <v>OK</v>
      </c>
      <c r="Y28" s="16"/>
      <c r="Z28" s="16"/>
      <c r="AA28" s="16"/>
    </row>
    <row r="29" ht="15.75" customHeight="1">
      <c r="A29" s="14" t="s">
        <v>95</v>
      </c>
      <c r="B29" s="15" t="s">
        <v>96</v>
      </c>
      <c r="C29" s="16">
        <v>8370.0</v>
      </c>
      <c r="D29" s="17">
        <v>6.0</v>
      </c>
      <c r="E29" s="18" t="str">
        <f t="shared" si="1"/>
        <v>Moderate</v>
      </c>
      <c r="F29" s="19">
        <v>5.652</v>
      </c>
      <c r="G29" s="20">
        <v>33.0</v>
      </c>
      <c r="H29" s="16">
        <v>68650.0</v>
      </c>
      <c r="I29" s="17">
        <v>2.5</v>
      </c>
      <c r="J29" s="18" t="str">
        <f t="shared" si="2"/>
        <v>Moderate</v>
      </c>
      <c r="K29" s="20">
        <v>20.56</v>
      </c>
      <c r="L29" s="20">
        <v>22.1</v>
      </c>
      <c r="M29" s="20">
        <v>29.07</v>
      </c>
      <c r="N29" s="20">
        <v>40.5</v>
      </c>
      <c r="O29" s="20">
        <v>54.29</v>
      </c>
      <c r="P29" s="16">
        <v>42760.0</v>
      </c>
      <c r="Q29" s="16">
        <v>45970.0</v>
      </c>
      <c r="R29" s="16">
        <v>60460.0</v>
      </c>
      <c r="S29" s="16">
        <v>84240.0</v>
      </c>
      <c r="T29" s="16">
        <v>112920.0</v>
      </c>
      <c r="U29" s="16">
        <f t="shared" si="3"/>
        <v>3.93</v>
      </c>
      <c r="V29" s="21">
        <f t="shared" si="4"/>
        <v>13.51909185</v>
      </c>
      <c r="W29" s="22">
        <f t="shared" si="5"/>
        <v>2.640564202</v>
      </c>
      <c r="X29" s="23" t="str">
        <f t="shared" si="6"/>
        <v>OK</v>
      </c>
      <c r="Y29" s="16"/>
      <c r="Z29" s="16"/>
      <c r="AA29" s="16"/>
    </row>
    <row r="30" ht="15.75" customHeight="1">
      <c r="A30" s="14" t="s">
        <v>99</v>
      </c>
      <c r="B30" s="15" t="s">
        <v>100</v>
      </c>
      <c r="C30" s="16">
        <v>3450.0</v>
      </c>
      <c r="D30" s="17">
        <v>4.7</v>
      </c>
      <c r="E30" s="18" t="str">
        <f t="shared" si="1"/>
        <v>Low</v>
      </c>
      <c r="F30" s="19">
        <v>5.103</v>
      </c>
      <c r="G30" s="20">
        <v>29.22</v>
      </c>
      <c r="H30" s="16">
        <v>60780.0</v>
      </c>
      <c r="I30" s="17">
        <v>2.0</v>
      </c>
      <c r="J30" s="18" t="str">
        <f t="shared" si="2"/>
        <v>Moderate</v>
      </c>
      <c r="K30" s="20">
        <v>16.99</v>
      </c>
      <c r="L30" s="20">
        <v>21.51</v>
      </c>
      <c r="M30" s="20">
        <v>29.46</v>
      </c>
      <c r="N30" s="20">
        <v>36.55</v>
      </c>
      <c r="O30" s="20">
        <v>40.53</v>
      </c>
      <c r="P30" s="16">
        <v>35350.0</v>
      </c>
      <c r="Q30" s="16">
        <v>44740.0</v>
      </c>
      <c r="R30" s="16">
        <v>61270.0</v>
      </c>
      <c r="S30" s="16">
        <v>76030.0</v>
      </c>
      <c r="T30" s="16">
        <v>84300.0</v>
      </c>
      <c r="U30" s="16">
        <f t="shared" si="3"/>
        <v>-0.24</v>
      </c>
      <c r="V30" s="21">
        <f t="shared" si="4"/>
        <v>-0.8146639511</v>
      </c>
      <c r="W30" s="22">
        <f t="shared" si="5"/>
        <v>2.385520895</v>
      </c>
      <c r="X30" s="23" t="str">
        <f t="shared" si="6"/>
        <v>OK</v>
      </c>
      <c r="Y30" s="16"/>
      <c r="Z30" s="16"/>
      <c r="AA30" s="16"/>
    </row>
    <row r="31" ht="15.75" customHeight="1">
      <c r="A31" s="14" t="s">
        <v>101</v>
      </c>
      <c r="B31" s="15" t="s">
        <v>102</v>
      </c>
      <c r="C31" s="16">
        <v>14350.0</v>
      </c>
      <c r="D31" s="17">
        <v>5.6</v>
      </c>
      <c r="E31" s="18" t="str">
        <f t="shared" si="1"/>
        <v>Moderate</v>
      </c>
      <c r="F31" s="19">
        <v>3.416</v>
      </c>
      <c r="G31" s="20">
        <v>37.76</v>
      </c>
      <c r="H31" s="16">
        <v>78530.0</v>
      </c>
      <c r="I31" s="17">
        <v>2.6</v>
      </c>
      <c r="J31" s="18" t="str">
        <f t="shared" si="2"/>
        <v>Moderate</v>
      </c>
      <c r="K31" s="20">
        <v>20.63</v>
      </c>
      <c r="L31" s="20">
        <v>24.8</v>
      </c>
      <c r="M31" s="20">
        <v>32.81</v>
      </c>
      <c r="N31" s="20">
        <v>52.41</v>
      </c>
      <c r="O31" s="20">
        <v>61.32</v>
      </c>
      <c r="P31" s="16">
        <v>42910.0</v>
      </c>
      <c r="Q31" s="16">
        <v>51570.0</v>
      </c>
      <c r="R31" s="16">
        <v>68250.0</v>
      </c>
      <c r="S31" s="16">
        <v>109010.0</v>
      </c>
      <c r="T31" s="16">
        <v>127540.0</v>
      </c>
      <c r="U31" s="16">
        <f t="shared" si="3"/>
        <v>4.95</v>
      </c>
      <c r="V31" s="21">
        <f t="shared" si="4"/>
        <v>15.08686376</v>
      </c>
      <c r="W31" s="22">
        <f t="shared" si="5"/>
        <v>2.972370334</v>
      </c>
      <c r="X31" s="23" t="str">
        <f t="shared" si="6"/>
        <v>OK</v>
      </c>
      <c r="Y31" s="16"/>
      <c r="Z31" s="16"/>
      <c r="AA31" s="16"/>
    </row>
    <row r="32" ht="15.75" customHeight="1">
      <c r="A32" s="14" t="s">
        <v>103</v>
      </c>
      <c r="B32" s="15" t="s">
        <v>104</v>
      </c>
      <c r="C32" s="16">
        <v>5060.0</v>
      </c>
      <c r="D32" s="17">
        <v>5.0</v>
      </c>
      <c r="E32" s="18" t="str">
        <f t="shared" si="1"/>
        <v>Moderate</v>
      </c>
      <c r="F32" s="19">
        <v>5.987</v>
      </c>
      <c r="G32" s="20">
        <v>28.31</v>
      </c>
      <c r="H32" s="16">
        <v>58880.0</v>
      </c>
      <c r="I32" s="17">
        <v>1.4</v>
      </c>
      <c r="J32" s="18" t="str">
        <f t="shared" si="2"/>
        <v>Low</v>
      </c>
      <c r="K32" s="20">
        <v>17.83</v>
      </c>
      <c r="L32" s="20">
        <v>21.73</v>
      </c>
      <c r="M32" s="20">
        <v>26.92</v>
      </c>
      <c r="N32" s="20">
        <v>35.79</v>
      </c>
      <c r="O32" s="20">
        <v>39.44</v>
      </c>
      <c r="P32" s="16">
        <v>37090.0</v>
      </c>
      <c r="Q32" s="16">
        <v>45200.0</v>
      </c>
      <c r="R32" s="16">
        <v>56000.0</v>
      </c>
      <c r="S32" s="16">
        <v>74440.0</v>
      </c>
      <c r="T32" s="16">
        <v>82020.0</v>
      </c>
      <c r="U32" s="16">
        <f t="shared" si="3"/>
        <v>1.39</v>
      </c>
      <c r="V32" s="21">
        <f t="shared" si="4"/>
        <v>5.163447251</v>
      </c>
      <c r="W32" s="22">
        <f t="shared" si="5"/>
        <v>2.212002243</v>
      </c>
      <c r="X32" s="23" t="str">
        <f t="shared" si="6"/>
        <v>OK</v>
      </c>
      <c r="Y32" s="16"/>
      <c r="Z32" s="16"/>
      <c r="AA32" s="16"/>
    </row>
    <row r="33" ht="15.75" customHeight="1">
      <c r="A33" s="14" t="s">
        <v>106</v>
      </c>
      <c r="B33" s="15" t="s">
        <v>107</v>
      </c>
      <c r="C33" s="16">
        <v>40670.0</v>
      </c>
      <c r="D33" s="17">
        <v>3.6</v>
      </c>
      <c r="E33" s="18" t="str">
        <f t="shared" si="1"/>
        <v>Low</v>
      </c>
      <c r="F33" s="19">
        <v>4.33</v>
      </c>
      <c r="G33" s="20">
        <v>40.17</v>
      </c>
      <c r="H33" s="16">
        <v>83550.0</v>
      </c>
      <c r="I33" s="17">
        <v>2.1</v>
      </c>
      <c r="J33" s="18" t="str">
        <f t="shared" si="2"/>
        <v>Moderate</v>
      </c>
      <c r="K33" s="20">
        <v>21.15</v>
      </c>
      <c r="L33" s="20">
        <v>28.26</v>
      </c>
      <c r="M33" s="20">
        <v>37.23</v>
      </c>
      <c r="N33" s="20">
        <v>51.16</v>
      </c>
      <c r="O33" s="20">
        <v>62.85</v>
      </c>
      <c r="P33" s="16">
        <v>43990.0</v>
      </c>
      <c r="Q33" s="16">
        <v>58770.0</v>
      </c>
      <c r="R33" s="16">
        <v>77430.0</v>
      </c>
      <c r="S33" s="16">
        <v>106410.0</v>
      </c>
      <c r="T33" s="16">
        <v>130720.0</v>
      </c>
      <c r="U33" s="16">
        <f t="shared" si="3"/>
        <v>2.94</v>
      </c>
      <c r="V33" s="21">
        <f t="shared" si="4"/>
        <v>7.896857373</v>
      </c>
      <c r="W33" s="22">
        <f t="shared" si="5"/>
        <v>2.971631206</v>
      </c>
      <c r="X33" s="23" t="str">
        <f t="shared" si="6"/>
        <v>OK</v>
      </c>
      <c r="Y33" s="16"/>
      <c r="Z33" s="16"/>
      <c r="AA33" s="16"/>
    </row>
    <row r="34" ht="15.75" customHeight="1">
      <c r="A34" s="14" t="s">
        <v>110</v>
      </c>
      <c r="B34" s="15" t="s">
        <v>111</v>
      </c>
      <c r="C34" s="16">
        <v>21900.0</v>
      </c>
      <c r="D34" s="17">
        <v>2.9</v>
      </c>
      <c r="E34" s="18" t="str">
        <f t="shared" si="1"/>
        <v>Low</v>
      </c>
      <c r="F34" s="19">
        <v>4.567</v>
      </c>
      <c r="G34" s="20">
        <v>25.78</v>
      </c>
      <c r="H34" s="16">
        <v>53610.0</v>
      </c>
      <c r="I34" s="17">
        <v>0.9</v>
      </c>
      <c r="J34" s="18" t="str">
        <f t="shared" si="2"/>
        <v>Low</v>
      </c>
      <c r="K34" s="20">
        <v>18.42</v>
      </c>
      <c r="L34" s="20">
        <v>22.39</v>
      </c>
      <c r="M34" s="20">
        <v>24.49</v>
      </c>
      <c r="N34" s="20">
        <v>29.02</v>
      </c>
      <c r="O34" s="20">
        <v>31.92</v>
      </c>
      <c r="P34" s="16">
        <v>38310.0</v>
      </c>
      <c r="Q34" s="16">
        <v>46560.0</v>
      </c>
      <c r="R34" s="16">
        <v>50950.0</v>
      </c>
      <c r="S34" s="16">
        <v>60350.0</v>
      </c>
      <c r="T34" s="16">
        <v>66400.0</v>
      </c>
      <c r="U34" s="16">
        <f t="shared" si="3"/>
        <v>1.29</v>
      </c>
      <c r="V34" s="21">
        <f t="shared" si="4"/>
        <v>5.267456105</v>
      </c>
      <c r="W34" s="22">
        <f t="shared" si="5"/>
        <v>1.732899023</v>
      </c>
      <c r="X34" s="23" t="str">
        <f t="shared" si="6"/>
        <v>OK</v>
      </c>
      <c r="Y34" s="16"/>
      <c r="Z34" s="16"/>
      <c r="AA34" s="16"/>
    </row>
    <row r="35" ht="15.75" customHeight="1">
      <c r="A35" s="14" t="s">
        <v>113</v>
      </c>
      <c r="B35" s="15" t="s">
        <v>115</v>
      </c>
      <c r="C35" s="16">
        <v>3180.0</v>
      </c>
      <c r="D35" s="17">
        <v>2.8</v>
      </c>
      <c r="E35" s="18" t="str">
        <f t="shared" si="1"/>
        <v>Low</v>
      </c>
      <c r="F35" s="19">
        <v>7.614</v>
      </c>
      <c r="G35" s="20">
        <v>35.02</v>
      </c>
      <c r="H35" s="16">
        <v>72850.0</v>
      </c>
      <c r="I35" s="17">
        <v>2.2</v>
      </c>
      <c r="J35" s="18" t="str">
        <f t="shared" si="2"/>
        <v>Moderate</v>
      </c>
      <c r="K35" s="20">
        <v>20.77</v>
      </c>
      <c r="L35" s="20">
        <v>26.39</v>
      </c>
      <c r="M35" s="20">
        <v>36.6</v>
      </c>
      <c r="N35" s="20">
        <v>40.86</v>
      </c>
      <c r="O35" s="20">
        <v>48.44</v>
      </c>
      <c r="P35" s="16">
        <v>43190.0</v>
      </c>
      <c r="Q35" s="16">
        <v>54890.0</v>
      </c>
      <c r="R35" s="16">
        <v>76120.0</v>
      </c>
      <c r="S35" s="16">
        <v>84980.0</v>
      </c>
      <c r="T35" s="16">
        <v>100750.0</v>
      </c>
      <c r="U35" s="16">
        <f t="shared" si="3"/>
        <v>-1.58</v>
      </c>
      <c r="V35" s="21">
        <f t="shared" si="4"/>
        <v>-4.316939891</v>
      </c>
      <c r="W35" s="22">
        <f t="shared" si="5"/>
        <v>2.332209918</v>
      </c>
      <c r="X35" s="23" t="str">
        <f t="shared" si="6"/>
        <v>OK</v>
      </c>
      <c r="Y35" s="16"/>
      <c r="Z35" s="16"/>
      <c r="AA35" s="16"/>
    </row>
    <row r="36" ht="15.75" customHeight="1">
      <c r="A36" s="14" t="s">
        <v>122</v>
      </c>
      <c r="B36" s="15" t="s">
        <v>123</v>
      </c>
      <c r="C36" s="16">
        <v>24430.0</v>
      </c>
      <c r="D36" s="17">
        <v>2.8</v>
      </c>
      <c r="E36" s="18" t="str">
        <f t="shared" si="1"/>
        <v>Low</v>
      </c>
      <c r="F36" s="19">
        <v>4.467</v>
      </c>
      <c r="G36" s="20">
        <v>30.94</v>
      </c>
      <c r="H36" s="16">
        <v>64360.0</v>
      </c>
      <c r="I36" s="17">
        <v>1.4</v>
      </c>
      <c r="J36" s="18" t="str">
        <f t="shared" si="2"/>
        <v>Low</v>
      </c>
      <c r="K36" s="20">
        <v>18.0</v>
      </c>
      <c r="L36" s="20">
        <v>23.21</v>
      </c>
      <c r="M36" s="20">
        <v>30.46</v>
      </c>
      <c r="N36" s="20">
        <v>37.55</v>
      </c>
      <c r="O36" s="20">
        <v>44.1</v>
      </c>
      <c r="P36" s="16">
        <v>37430.0</v>
      </c>
      <c r="Q36" s="16">
        <v>48290.0</v>
      </c>
      <c r="R36" s="16">
        <v>63370.0</v>
      </c>
      <c r="S36" s="16">
        <v>78100.0</v>
      </c>
      <c r="T36" s="16">
        <v>91730.0</v>
      </c>
      <c r="U36" s="16">
        <f t="shared" si="3"/>
        <v>0.48</v>
      </c>
      <c r="V36" s="21">
        <f t="shared" si="4"/>
        <v>1.575837163</v>
      </c>
      <c r="W36" s="22">
        <f t="shared" si="5"/>
        <v>2.45</v>
      </c>
      <c r="X36" s="23" t="str">
        <f t="shared" si="6"/>
        <v>OK</v>
      </c>
      <c r="Y36" s="16"/>
      <c r="Z36" s="16"/>
      <c r="AA36" s="16"/>
    </row>
    <row r="37" ht="15.75" customHeight="1">
      <c r="A37" s="14" t="s">
        <v>124</v>
      </c>
      <c r="B37" s="15" t="s">
        <v>119</v>
      </c>
      <c r="C37" s="16">
        <v>7220.0</v>
      </c>
      <c r="D37" s="17">
        <v>4.4</v>
      </c>
      <c r="E37" s="18" t="str">
        <f t="shared" si="1"/>
        <v>Low</v>
      </c>
      <c r="F37" s="19">
        <v>4.337</v>
      </c>
      <c r="G37" s="20">
        <v>28.72</v>
      </c>
      <c r="H37" s="16">
        <v>59750.0</v>
      </c>
      <c r="I37" s="17">
        <v>1.7</v>
      </c>
      <c r="J37" s="18" t="str">
        <f t="shared" si="2"/>
        <v>Low</v>
      </c>
      <c r="K37" s="20">
        <v>17.37</v>
      </c>
      <c r="L37" s="20">
        <v>20.83</v>
      </c>
      <c r="M37" s="20">
        <v>27.76</v>
      </c>
      <c r="N37" s="20">
        <v>33.0</v>
      </c>
      <c r="O37" s="20">
        <v>39.82</v>
      </c>
      <c r="P37" s="16">
        <v>36120.0</v>
      </c>
      <c r="Q37" s="16">
        <v>43330.0</v>
      </c>
      <c r="R37" s="16">
        <v>57750.0</v>
      </c>
      <c r="S37" s="16">
        <v>68650.0</v>
      </c>
      <c r="T37" s="16">
        <v>82830.0</v>
      </c>
      <c r="U37" s="16">
        <f t="shared" si="3"/>
        <v>0.96</v>
      </c>
      <c r="V37" s="21">
        <f t="shared" si="4"/>
        <v>3.458213256</v>
      </c>
      <c r="W37" s="22">
        <f t="shared" si="5"/>
        <v>2.292458261</v>
      </c>
      <c r="X37" s="23" t="str">
        <f t="shared" si="6"/>
        <v>OK</v>
      </c>
      <c r="Y37" s="16"/>
      <c r="Z37" s="16"/>
      <c r="AA37" s="16"/>
    </row>
    <row r="38" ht="15.75" customHeight="1">
      <c r="A38" s="14" t="s">
        <v>125</v>
      </c>
      <c r="B38" s="15" t="s">
        <v>109</v>
      </c>
      <c r="C38" s="16">
        <v>9260.0</v>
      </c>
      <c r="D38" s="17">
        <v>3.3</v>
      </c>
      <c r="E38" s="18" t="str">
        <f t="shared" si="1"/>
        <v>Low</v>
      </c>
      <c r="F38" s="19">
        <v>4.767</v>
      </c>
      <c r="G38" s="20">
        <v>41.03</v>
      </c>
      <c r="H38" s="16">
        <v>85330.0</v>
      </c>
      <c r="I38" s="17">
        <v>0.8</v>
      </c>
      <c r="J38" s="18" t="str">
        <f t="shared" si="2"/>
        <v>Low</v>
      </c>
      <c r="K38" s="20">
        <v>23.52</v>
      </c>
      <c r="L38" s="20">
        <v>29.83</v>
      </c>
      <c r="M38" s="20">
        <v>42.68</v>
      </c>
      <c r="N38" s="20">
        <v>52.93</v>
      </c>
      <c r="O38" s="20">
        <v>53.77</v>
      </c>
      <c r="P38" s="16">
        <v>48930.0</v>
      </c>
      <c r="Q38" s="16">
        <v>62040.0</v>
      </c>
      <c r="R38" s="16">
        <v>88770.0</v>
      </c>
      <c r="S38" s="16">
        <v>110100.0</v>
      </c>
      <c r="T38" s="16">
        <v>111830.0</v>
      </c>
      <c r="U38" s="16">
        <f t="shared" si="3"/>
        <v>-1.65</v>
      </c>
      <c r="V38" s="21">
        <f t="shared" si="4"/>
        <v>-3.865979381</v>
      </c>
      <c r="W38" s="22">
        <f t="shared" si="5"/>
        <v>2.286139456</v>
      </c>
      <c r="X38" s="23" t="str">
        <f t="shared" si="6"/>
        <v>OK</v>
      </c>
      <c r="Y38" s="16"/>
      <c r="Z38" s="16"/>
      <c r="AA38" s="16"/>
    </row>
    <row r="39" ht="15.75" customHeight="1">
      <c r="A39" s="14" t="s">
        <v>126</v>
      </c>
      <c r="B39" s="15" t="s">
        <v>127</v>
      </c>
      <c r="C39" s="16">
        <v>20770.0</v>
      </c>
      <c r="D39" s="17">
        <v>3.3</v>
      </c>
      <c r="E39" s="18" t="str">
        <f t="shared" si="1"/>
        <v>Low</v>
      </c>
      <c r="F39" s="19">
        <v>3.491</v>
      </c>
      <c r="G39" s="20">
        <v>35.15</v>
      </c>
      <c r="H39" s="16">
        <v>73100.0</v>
      </c>
      <c r="I39" s="17">
        <v>2.1</v>
      </c>
      <c r="J39" s="18" t="str">
        <f t="shared" si="2"/>
        <v>Moderate</v>
      </c>
      <c r="K39" s="20">
        <v>21.0</v>
      </c>
      <c r="L39" s="20">
        <v>24.22</v>
      </c>
      <c r="M39" s="20">
        <v>31.59</v>
      </c>
      <c r="N39" s="20">
        <v>42.72</v>
      </c>
      <c r="O39" s="20">
        <v>53.76</v>
      </c>
      <c r="P39" s="16">
        <v>43690.0</v>
      </c>
      <c r="Q39" s="16">
        <v>50390.0</v>
      </c>
      <c r="R39" s="16">
        <v>65700.0</v>
      </c>
      <c r="S39" s="16">
        <v>88850.0</v>
      </c>
      <c r="T39" s="16">
        <v>111830.0</v>
      </c>
      <c r="U39" s="16">
        <f t="shared" si="3"/>
        <v>3.56</v>
      </c>
      <c r="V39" s="21">
        <f t="shared" si="4"/>
        <v>11.26938905</v>
      </c>
      <c r="W39" s="22">
        <f t="shared" si="5"/>
        <v>2.56</v>
      </c>
      <c r="X39" s="23" t="str">
        <f t="shared" si="6"/>
        <v>OK</v>
      </c>
      <c r="Y39" s="16"/>
      <c r="Z39" s="16"/>
      <c r="AA39" s="16"/>
    </row>
    <row r="40" ht="15.75" customHeight="1">
      <c r="A40" s="14" t="s">
        <v>128</v>
      </c>
      <c r="B40" s="15" t="s">
        <v>114</v>
      </c>
      <c r="C40" s="16">
        <v>2350.0</v>
      </c>
      <c r="D40" s="17">
        <v>5.6</v>
      </c>
      <c r="E40" s="18" t="str">
        <f t="shared" si="1"/>
        <v>Moderate</v>
      </c>
      <c r="F40" s="19">
        <v>4.81</v>
      </c>
      <c r="G40" s="20">
        <v>33.1</v>
      </c>
      <c r="H40" s="16">
        <v>68840.0</v>
      </c>
      <c r="I40" s="17">
        <v>2.9</v>
      </c>
      <c r="J40" s="18" t="str">
        <f t="shared" si="2"/>
        <v>Moderate</v>
      </c>
      <c r="K40" s="20">
        <v>21.22</v>
      </c>
      <c r="L40" s="20">
        <v>24.14</v>
      </c>
      <c r="M40" s="20">
        <v>31.85</v>
      </c>
      <c r="N40" s="20">
        <v>38.15</v>
      </c>
      <c r="O40" s="20">
        <v>48.39</v>
      </c>
      <c r="P40" s="16">
        <v>44130.0</v>
      </c>
      <c r="Q40" s="16">
        <v>50210.0</v>
      </c>
      <c r="R40" s="16">
        <v>66240.0</v>
      </c>
      <c r="S40" s="16">
        <v>79360.0</v>
      </c>
      <c r="T40" s="16">
        <v>100640.0</v>
      </c>
      <c r="U40" s="16">
        <f t="shared" si="3"/>
        <v>1.25</v>
      </c>
      <c r="V40" s="21">
        <f t="shared" si="4"/>
        <v>3.924646782</v>
      </c>
      <c r="W40" s="22">
        <f t="shared" si="5"/>
        <v>2.280395853</v>
      </c>
      <c r="X40" s="23" t="str">
        <f t="shared" si="6"/>
        <v>OK</v>
      </c>
      <c r="Y40" s="16"/>
      <c r="Z40" s="16"/>
      <c r="AA40" s="16"/>
    </row>
    <row r="41" ht="15.75" customHeight="1">
      <c r="A41" s="14" t="s">
        <v>129</v>
      </c>
      <c r="B41" s="15" t="s">
        <v>112</v>
      </c>
      <c r="C41" s="16">
        <v>7320.0</v>
      </c>
      <c r="D41" s="17">
        <v>3.8</v>
      </c>
      <c r="E41" s="18" t="str">
        <f t="shared" si="1"/>
        <v>Low</v>
      </c>
      <c r="F41" s="19">
        <v>3.291</v>
      </c>
      <c r="G41" s="20">
        <v>26.61</v>
      </c>
      <c r="H41" s="16">
        <v>55360.0</v>
      </c>
      <c r="I41" s="17">
        <v>1.2</v>
      </c>
      <c r="J41" s="18" t="str">
        <f t="shared" si="2"/>
        <v>Low</v>
      </c>
      <c r="K41" s="20">
        <v>17.81</v>
      </c>
      <c r="L41" s="20">
        <v>21.91</v>
      </c>
      <c r="M41" s="20">
        <v>24.98</v>
      </c>
      <c r="N41" s="20">
        <v>29.76</v>
      </c>
      <c r="O41" s="20">
        <v>35.83</v>
      </c>
      <c r="P41" s="16">
        <v>37050.0</v>
      </c>
      <c r="Q41" s="16">
        <v>45570.0</v>
      </c>
      <c r="R41" s="16">
        <v>51950.0</v>
      </c>
      <c r="S41" s="16">
        <v>61900.0</v>
      </c>
      <c r="T41" s="16">
        <v>74520.0</v>
      </c>
      <c r="U41" s="16">
        <f t="shared" si="3"/>
        <v>1.63</v>
      </c>
      <c r="V41" s="21">
        <f t="shared" si="4"/>
        <v>6.525220176</v>
      </c>
      <c r="W41" s="22">
        <f t="shared" si="5"/>
        <v>2.011791129</v>
      </c>
      <c r="X41" s="23" t="str">
        <f t="shared" si="6"/>
        <v>OK</v>
      </c>
      <c r="Y41" s="16"/>
      <c r="Z41" s="16"/>
      <c r="AA41" s="16"/>
    </row>
    <row r="42" ht="15.75" customHeight="1">
      <c r="A42" s="14" t="s">
        <v>130</v>
      </c>
      <c r="B42" s="15" t="s">
        <v>118</v>
      </c>
      <c r="C42" s="16">
        <v>2650.0</v>
      </c>
      <c r="D42" s="17">
        <v>4.1</v>
      </c>
      <c r="E42" s="18" t="str">
        <f t="shared" si="1"/>
        <v>Low</v>
      </c>
      <c r="F42" s="19">
        <v>5.973</v>
      </c>
      <c r="G42" s="20">
        <v>27.3</v>
      </c>
      <c r="H42" s="16">
        <v>56790.0</v>
      </c>
      <c r="I42" s="17">
        <v>1.0</v>
      </c>
      <c r="J42" s="18" t="str">
        <f t="shared" si="2"/>
        <v>Low</v>
      </c>
      <c r="K42" s="20">
        <v>18.82</v>
      </c>
      <c r="L42" s="20">
        <v>22.64</v>
      </c>
      <c r="M42" s="20">
        <v>27.76</v>
      </c>
      <c r="N42" s="20">
        <v>30.93</v>
      </c>
      <c r="O42" s="20">
        <v>36.25</v>
      </c>
      <c r="P42" s="16">
        <v>39140.0</v>
      </c>
      <c r="Q42" s="16">
        <v>47090.0</v>
      </c>
      <c r="R42" s="16">
        <v>57750.0</v>
      </c>
      <c r="S42" s="16">
        <v>64330.0</v>
      </c>
      <c r="T42" s="16">
        <v>75400.0</v>
      </c>
      <c r="U42" s="16">
        <f t="shared" si="3"/>
        <v>-0.46</v>
      </c>
      <c r="V42" s="21">
        <f t="shared" si="4"/>
        <v>-1.657060519</v>
      </c>
      <c r="W42" s="22">
        <f t="shared" si="5"/>
        <v>1.926142402</v>
      </c>
      <c r="X42" s="23" t="str">
        <f t="shared" si="6"/>
        <v>OK</v>
      </c>
      <c r="Y42" s="16"/>
      <c r="Z42" s="16"/>
      <c r="AA42" s="16"/>
    </row>
    <row r="43" ht="15.75" customHeight="1">
      <c r="A43" s="14" t="s">
        <v>131</v>
      </c>
      <c r="B43" s="15" t="s">
        <v>117</v>
      </c>
      <c r="C43" s="16">
        <v>17200.0</v>
      </c>
      <c r="D43" s="17">
        <v>3.1</v>
      </c>
      <c r="E43" s="18" t="str">
        <f t="shared" si="1"/>
        <v>Low</v>
      </c>
      <c r="F43" s="19">
        <v>5.342</v>
      </c>
      <c r="G43" s="20">
        <v>27.74</v>
      </c>
      <c r="H43" s="16">
        <v>57710.0</v>
      </c>
      <c r="I43" s="17">
        <v>1.0</v>
      </c>
      <c r="J43" s="18" t="str">
        <f t="shared" si="2"/>
        <v>Low</v>
      </c>
      <c r="K43" s="20">
        <v>17.68</v>
      </c>
      <c r="L43" s="20">
        <v>22.01</v>
      </c>
      <c r="M43" s="20">
        <v>26.62</v>
      </c>
      <c r="N43" s="20">
        <v>32.03</v>
      </c>
      <c r="O43" s="20">
        <v>38.66</v>
      </c>
      <c r="P43" s="16">
        <v>36770.0</v>
      </c>
      <c r="Q43" s="16">
        <v>45770.0</v>
      </c>
      <c r="R43" s="16">
        <v>55380.0</v>
      </c>
      <c r="S43" s="16">
        <v>66620.0</v>
      </c>
      <c r="T43" s="16">
        <v>80400.0</v>
      </c>
      <c r="U43" s="16">
        <f t="shared" si="3"/>
        <v>1.12</v>
      </c>
      <c r="V43" s="21">
        <f t="shared" si="4"/>
        <v>4.207362885</v>
      </c>
      <c r="W43" s="22">
        <f t="shared" si="5"/>
        <v>2.186651584</v>
      </c>
      <c r="X43" s="23" t="str">
        <f t="shared" si="6"/>
        <v>OK</v>
      </c>
      <c r="Y43" s="16"/>
      <c r="Z43" s="16"/>
      <c r="AA43" s="16"/>
    </row>
    <row r="44" ht="15.75" customHeight="1">
      <c r="A44" s="14" t="s">
        <v>132</v>
      </c>
      <c r="B44" s="15" t="s">
        <v>120</v>
      </c>
      <c r="C44" s="16">
        <v>70580.0</v>
      </c>
      <c r="D44" s="17">
        <v>2.7</v>
      </c>
      <c r="E44" s="18" t="str">
        <f t="shared" si="1"/>
        <v>Low</v>
      </c>
      <c r="F44" s="19">
        <v>5.206</v>
      </c>
      <c r="G44" s="20">
        <v>27.09</v>
      </c>
      <c r="H44" s="16">
        <v>56350.0</v>
      </c>
      <c r="I44" s="17">
        <v>0.8</v>
      </c>
      <c r="J44" s="18" t="str">
        <f t="shared" si="2"/>
        <v>Low</v>
      </c>
      <c r="K44" s="20">
        <v>17.71</v>
      </c>
      <c r="L44" s="20">
        <v>21.54</v>
      </c>
      <c r="M44" s="20">
        <v>26.87</v>
      </c>
      <c r="N44" s="20">
        <v>30.91</v>
      </c>
      <c r="O44" s="20">
        <v>36.62</v>
      </c>
      <c r="P44" s="16">
        <v>36830.0</v>
      </c>
      <c r="Q44" s="16">
        <v>44800.0</v>
      </c>
      <c r="R44" s="16">
        <v>55890.0</v>
      </c>
      <c r="S44" s="16">
        <v>64300.0</v>
      </c>
      <c r="T44" s="16">
        <v>76170.0</v>
      </c>
      <c r="U44" s="16">
        <f t="shared" si="3"/>
        <v>0.22</v>
      </c>
      <c r="V44" s="21">
        <f t="shared" si="4"/>
        <v>0.818756978</v>
      </c>
      <c r="W44" s="22">
        <f t="shared" si="5"/>
        <v>2.067758329</v>
      </c>
      <c r="X44" s="23" t="str">
        <f t="shared" si="6"/>
        <v>OK</v>
      </c>
      <c r="Y44" s="16"/>
      <c r="Z44" s="16"/>
      <c r="AA44" s="16"/>
    </row>
    <row r="45" ht="15.75" customHeight="1">
      <c r="A45" s="14" t="s">
        <v>133</v>
      </c>
      <c r="B45" s="15" t="s">
        <v>134</v>
      </c>
      <c r="C45" s="16">
        <v>11350.0</v>
      </c>
      <c r="D45" s="17">
        <v>5.5</v>
      </c>
      <c r="E45" s="18" t="str">
        <f t="shared" si="1"/>
        <v>Moderate</v>
      </c>
      <c r="F45" s="19">
        <v>6.759</v>
      </c>
      <c r="G45" s="20">
        <v>28.73</v>
      </c>
      <c r="H45" s="16">
        <v>59760.0</v>
      </c>
      <c r="I45" s="17">
        <v>1.2</v>
      </c>
      <c r="J45" s="18" t="str">
        <f t="shared" si="2"/>
        <v>Low</v>
      </c>
      <c r="K45" s="20">
        <v>17.92</v>
      </c>
      <c r="L45" s="20">
        <v>22.6</v>
      </c>
      <c r="M45" s="20">
        <v>28.79</v>
      </c>
      <c r="N45" s="20">
        <v>35.76</v>
      </c>
      <c r="O45" s="20">
        <v>38.17</v>
      </c>
      <c r="P45" s="16">
        <v>37260.0</v>
      </c>
      <c r="Q45" s="16">
        <v>47000.0</v>
      </c>
      <c r="R45" s="16">
        <v>59890.0</v>
      </c>
      <c r="S45" s="16">
        <v>74380.0</v>
      </c>
      <c r="T45" s="16">
        <v>79390.0</v>
      </c>
      <c r="U45" s="16">
        <f t="shared" si="3"/>
        <v>-0.06</v>
      </c>
      <c r="V45" s="21">
        <f t="shared" si="4"/>
        <v>-0.2084056964</v>
      </c>
      <c r="W45" s="22">
        <f t="shared" si="5"/>
        <v>2.130022321</v>
      </c>
      <c r="X45" s="23" t="str">
        <f t="shared" si="6"/>
        <v>OK</v>
      </c>
      <c r="Y45" s="16"/>
      <c r="Z45" s="16"/>
      <c r="AA45" s="16"/>
    </row>
    <row r="46" ht="15.75" customHeight="1">
      <c r="A46" s="14" t="s">
        <v>135</v>
      </c>
      <c r="B46" s="15" t="s">
        <v>116</v>
      </c>
      <c r="C46" s="16">
        <v>1240.0</v>
      </c>
      <c r="D46" s="17">
        <v>3.5</v>
      </c>
      <c r="E46" s="18" t="str">
        <f t="shared" si="1"/>
        <v>Low</v>
      </c>
      <c r="F46" s="19">
        <v>4.129</v>
      </c>
      <c r="G46" s="20">
        <v>27.02</v>
      </c>
      <c r="H46" s="16">
        <v>56190.0</v>
      </c>
      <c r="I46" s="17">
        <v>1.1</v>
      </c>
      <c r="J46" s="18" t="str">
        <f t="shared" si="2"/>
        <v>Low</v>
      </c>
      <c r="K46" s="20">
        <v>18.15</v>
      </c>
      <c r="L46" s="20">
        <v>22.67</v>
      </c>
      <c r="M46" s="20">
        <v>27.32</v>
      </c>
      <c r="N46" s="20">
        <v>30.87</v>
      </c>
      <c r="O46" s="20">
        <v>36.35</v>
      </c>
      <c r="P46" s="16">
        <v>37760.0</v>
      </c>
      <c r="Q46" s="16">
        <v>47150.0</v>
      </c>
      <c r="R46" s="16">
        <v>56830.0</v>
      </c>
      <c r="S46" s="16">
        <v>64200.0</v>
      </c>
      <c r="T46" s="16">
        <v>75600.0</v>
      </c>
      <c r="U46" s="16">
        <f t="shared" si="3"/>
        <v>-0.3</v>
      </c>
      <c r="V46" s="21">
        <f t="shared" si="4"/>
        <v>-1.098096633</v>
      </c>
      <c r="W46" s="22">
        <f t="shared" si="5"/>
        <v>2.002754821</v>
      </c>
      <c r="X46" s="23" t="str">
        <f t="shared" si="6"/>
        <v>OK</v>
      </c>
      <c r="Y46" s="16"/>
      <c r="Z46" s="16"/>
      <c r="AA46" s="16"/>
    </row>
    <row r="47" ht="15.75" customHeight="1">
      <c r="A47" s="14" t="s">
        <v>136</v>
      </c>
      <c r="B47" s="15" t="s">
        <v>121</v>
      </c>
      <c r="C47" s="16">
        <v>22150.0</v>
      </c>
      <c r="D47" s="17">
        <v>3.3</v>
      </c>
      <c r="E47" s="18" t="str">
        <f t="shared" si="1"/>
        <v>Low</v>
      </c>
      <c r="F47" s="19">
        <v>5.563</v>
      </c>
      <c r="G47" s="20">
        <v>31.12</v>
      </c>
      <c r="H47" s="16">
        <v>64730.0</v>
      </c>
      <c r="I47" s="17">
        <v>1.3</v>
      </c>
      <c r="J47" s="18" t="str">
        <f t="shared" si="2"/>
        <v>Low</v>
      </c>
      <c r="K47" s="20">
        <v>18.3</v>
      </c>
      <c r="L47" s="20">
        <v>23.27</v>
      </c>
      <c r="M47" s="20">
        <v>29.0</v>
      </c>
      <c r="N47" s="20">
        <v>36.85</v>
      </c>
      <c r="O47" s="20">
        <v>50.56</v>
      </c>
      <c r="P47" s="16">
        <v>38060.0</v>
      </c>
      <c r="Q47" s="16">
        <v>48390.0</v>
      </c>
      <c r="R47" s="16">
        <v>60320.0</v>
      </c>
      <c r="S47" s="16">
        <v>76640.0</v>
      </c>
      <c r="T47" s="16">
        <v>105160.0</v>
      </c>
      <c r="U47" s="16">
        <f t="shared" si="3"/>
        <v>2.12</v>
      </c>
      <c r="V47" s="21">
        <f t="shared" si="4"/>
        <v>7.310344828</v>
      </c>
      <c r="W47" s="22">
        <f t="shared" si="5"/>
        <v>2.76284153</v>
      </c>
      <c r="X47" s="23" t="str">
        <f t="shared" si="6"/>
        <v>OK</v>
      </c>
      <c r="Y47" s="16"/>
      <c r="Z47" s="16"/>
      <c r="AA47" s="16"/>
    </row>
    <row r="48" ht="15.75" customHeight="1">
      <c r="A48" s="14" t="s">
        <v>137</v>
      </c>
      <c r="B48" s="15" t="s">
        <v>108</v>
      </c>
      <c r="C48" s="16">
        <v>18820.0</v>
      </c>
      <c r="D48" s="17">
        <v>2.6</v>
      </c>
      <c r="E48" s="18" t="str">
        <f t="shared" si="1"/>
        <v>Low</v>
      </c>
      <c r="F48" s="19">
        <v>5.384</v>
      </c>
      <c r="G48" s="20">
        <v>42.61</v>
      </c>
      <c r="H48" s="16">
        <v>88620.0</v>
      </c>
      <c r="I48" s="17">
        <v>0.9</v>
      </c>
      <c r="J48" s="18" t="str">
        <f t="shared" si="2"/>
        <v>Low</v>
      </c>
      <c r="K48" s="20">
        <v>23.53</v>
      </c>
      <c r="L48" s="20">
        <v>31.29</v>
      </c>
      <c r="M48" s="20">
        <v>39.44</v>
      </c>
      <c r="N48" s="20">
        <v>51.82</v>
      </c>
      <c r="O48" s="20">
        <v>63.27</v>
      </c>
      <c r="P48" s="16">
        <v>48940.0</v>
      </c>
      <c r="Q48" s="16">
        <v>65070.0</v>
      </c>
      <c r="R48" s="16">
        <v>82020.0</v>
      </c>
      <c r="S48" s="16">
        <v>107780.0</v>
      </c>
      <c r="T48" s="16">
        <v>131600.0</v>
      </c>
      <c r="U48" s="16">
        <f t="shared" si="3"/>
        <v>3.17</v>
      </c>
      <c r="V48" s="21">
        <f t="shared" si="4"/>
        <v>8.037525355</v>
      </c>
      <c r="W48" s="22">
        <f t="shared" si="5"/>
        <v>2.688907777</v>
      </c>
      <c r="X48" s="23" t="str">
        <f t="shared" si="6"/>
        <v>OK</v>
      </c>
      <c r="Y48" s="16"/>
      <c r="Z48" s="16"/>
      <c r="AA48" s="16"/>
    </row>
    <row r="49" ht="15.75" customHeight="1">
      <c r="A49" s="14" t="s">
        <v>138</v>
      </c>
      <c r="B49" s="15" t="s">
        <v>139</v>
      </c>
      <c r="C49" s="16">
        <v>3560.0</v>
      </c>
      <c r="D49" s="17">
        <v>2.6</v>
      </c>
      <c r="E49" s="18" t="str">
        <f t="shared" si="1"/>
        <v>Low</v>
      </c>
      <c r="F49" s="19">
        <v>5.165</v>
      </c>
      <c r="G49" s="20">
        <v>31.58</v>
      </c>
      <c r="H49" s="16">
        <v>65690.0</v>
      </c>
      <c r="I49" s="17">
        <v>1.8</v>
      </c>
      <c r="J49" s="18" t="str">
        <f t="shared" si="2"/>
        <v>Low</v>
      </c>
      <c r="K49" s="20">
        <v>17.55</v>
      </c>
      <c r="L49" s="20">
        <v>22.73</v>
      </c>
      <c r="M49" s="20">
        <v>30.34</v>
      </c>
      <c r="N49" s="20">
        <v>38.74</v>
      </c>
      <c r="O49" s="20">
        <v>42.37</v>
      </c>
      <c r="P49" s="16">
        <v>36490.0</v>
      </c>
      <c r="Q49" s="16">
        <v>47280.0</v>
      </c>
      <c r="R49" s="16">
        <v>63100.0</v>
      </c>
      <c r="S49" s="16">
        <v>80570.0</v>
      </c>
      <c r="T49" s="16">
        <v>88140.0</v>
      </c>
      <c r="U49" s="16">
        <f t="shared" si="3"/>
        <v>1.24</v>
      </c>
      <c r="V49" s="21">
        <f t="shared" si="4"/>
        <v>4.087013843</v>
      </c>
      <c r="W49" s="22">
        <f t="shared" si="5"/>
        <v>2.414245014</v>
      </c>
      <c r="X49" s="23" t="str">
        <f t="shared" si="6"/>
        <v>OK</v>
      </c>
      <c r="Y49" s="16"/>
      <c r="Z49" s="16"/>
      <c r="AA49" s="16"/>
    </row>
    <row r="50" ht="15.75" customHeight="1">
      <c r="A50" s="14" t="s">
        <v>140</v>
      </c>
      <c r="B50" s="15" t="s">
        <v>141</v>
      </c>
      <c r="C50" s="16">
        <v>11630.0</v>
      </c>
      <c r="D50" s="17">
        <v>3.0</v>
      </c>
      <c r="E50" s="18" t="str">
        <f t="shared" si="1"/>
        <v>Low</v>
      </c>
      <c r="F50" s="19">
        <v>4.029</v>
      </c>
      <c r="G50" s="20">
        <v>34.65</v>
      </c>
      <c r="H50" s="16">
        <v>72080.0</v>
      </c>
      <c r="I50" s="17">
        <v>1.1</v>
      </c>
      <c r="J50" s="18" t="str">
        <f t="shared" si="2"/>
        <v>Low</v>
      </c>
      <c r="K50" s="20">
        <v>21.43</v>
      </c>
      <c r="L50" s="20">
        <v>26.26</v>
      </c>
      <c r="M50" s="20">
        <v>35.89</v>
      </c>
      <c r="N50" s="20">
        <v>40.8</v>
      </c>
      <c r="O50" s="20">
        <v>47.08</v>
      </c>
      <c r="P50" s="16">
        <v>44570.0</v>
      </c>
      <c r="Q50" s="16">
        <v>54610.0</v>
      </c>
      <c r="R50" s="16">
        <v>74660.0</v>
      </c>
      <c r="S50" s="16">
        <v>84870.0</v>
      </c>
      <c r="T50" s="16">
        <v>97920.0</v>
      </c>
      <c r="U50" s="16">
        <f t="shared" si="3"/>
        <v>-1.24</v>
      </c>
      <c r="V50" s="21">
        <f t="shared" si="4"/>
        <v>-3.455001393</v>
      </c>
      <c r="W50" s="22">
        <f t="shared" si="5"/>
        <v>2.196920205</v>
      </c>
      <c r="X50" s="23" t="str">
        <f t="shared" si="6"/>
        <v>OK</v>
      </c>
      <c r="Y50" s="16"/>
      <c r="Z50" s="16"/>
      <c r="AA50" s="16"/>
    </row>
    <row r="51" ht="15.75" customHeight="1">
      <c r="A51" s="14" t="s">
        <v>142</v>
      </c>
      <c r="B51" s="15" t="s">
        <v>105</v>
      </c>
      <c r="C51" s="16">
        <v>2370.0</v>
      </c>
      <c r="D51" s="17">
        <v>5.3</v>
      </c>
      <c r="E51" s="18" t="str">
        <f t="shared" si="1"/>
        <v>Moderate</v>
      </c>
      <c r="F51" s="19">
        <v>8.672</v>
      </c>
      <c r="G51" s="20">
        <v>32.69</v>
      </c>
      <c r="H51" s="16">
        <v>68000.0</v>
      </c>
      <c r="I51" s="17">
        <v>1.1</v>
      </c>
      <c r="J51" s="18" t="str">
        <f t="shared" si="2"/>
        <v>Low</v>
      </c>
      <c r="K51" s="20">
        <v>19.48</v>
      </c>
      <c r="L51" s="20">
        <v>24.25</v>
      </c>
      <c r="M51" s="20">
        <v>30.98</v>
      </c>
      <c r="N51" s="20">
        <v>37.87</v>
      </c>
      <c r="O51" s="20">
        <v>48.54</v>
      </c>
      <c r="P51" s="16">
        <v>40510.0</v>
      </c>
      <c r="Q51" s="16">
        <v>50440.0</v>
      </c>
      <c r="R51" s="16">
        <v>64440.0</v>
      </c>
      <c r="S51" s="16">
        <v>78770.0</v>
      </c>
      <c r="T51" s="16">
        <v>100950.0</v>
      </c>
      <c r="U51" s="16">
        <f t="shared" si="3"/>
        <v>1.71</v>
      </c>
      <c r="V51" s="21">
        <f t="shared" si="4"/>
        <v>5.519690123</v>
      </c>
      <c r="W51" s="22">
        <f t="shared" si="5"/>
        <v>2.491786448</v>
      </c>
      <c r="X51" s="23" t="str">
        <f t="shared" si="6"/>
        <v>OK</v>
      </c>
      <c r="Y51" s="16"/>
      <c r="Z51" s="16"/>
      <c r="AA51" s="16"/>
    </row>
    <row r="52">
      <c r="E52" s="24"/>
      <c r="J52" s="24"/>
      <c r="V52" s="39"/>
      <c r="W52" s="39"/>
      <c r="X52" s="24"/>
    </row>
    <row r="53" ht="15.75" customHeight="1">
      <c r="C53" s="37">
        <f t="shared" ref="C53:D53" si="7">MAX(C2:C51)</f>
        <v>72880</v>
      </c>
      <c r="D53" s="38">
        <f t="shared" si="7"/>
        <v>6.6</v>
      </c>
      <c r="E53" s="24"/>
      <c r="I53" s="38">
        <f>MAX(I2:I51)</f>
        <v>3.2</v>
      </c>
      <c r="J53" s="24"/>
      <c r="V53" s="39"/>
      <c r="W53" s="39"/>
      <c r="X53" s="24"/>
    </row>
    <row r="54" ht="15.75" customHeight="1">
      <c r="C54" s="37">
        <f t="shared" ref="C54:D54" si="8">MIN(C2:C51)</f>
        <v>1240</v>
      </c>
      <c r="D54" s="38">
        <f t="shared" si="8"/>
        <v>1.9</v>
      </c>
      <c r="E54" s="24"/>
      <c r="I54" s="38">
        <f>MIN(I2:I51)</f>
        <v>0.7</v>
      </c>
      <c r="J54" s="24"/>
      <c r="V54" s="39"/>
      <c r="W54" s="39"/>
      <c r="X54" s="24"/>
    </row>
    <row r="55" ht="15.75" customHeight="1">
      <c r="E55" s="24"/>
      <c r="J55" s="24"/>
      <c r="V55" s="39"/>
      <c r="W55" s="39"/>
      <c r="X55" s="24"/>
    </row>
    <row r="56" ht="15.75" customHeight="1">
      <c r="E56" s="24"/>
      <c r="J56" s="24"/>
      <c r="V56" s="39"/>
      <c r="W56" s="39"/>
      <c r="X56" s="24"/>
    </row>
    <row r="57" ht="15.75" customHeight="1">
      <c r="E57" s="24"/>
      <c r="J57" s="24"/>
      <c r="V57" s="39"/>
      <c r="W57" s="39"/>
      <c r="X57" s="24"/>
    </row>
    <row r="58" ht="15.75" customHeight="1">
      <c r="E58" s="24"/>
      <c r="J58" s="24"/>
      <c r="V58" s="39"/>
      <c r="W58" s="39"/>
      <c r="X58" s="24"/>
    </row>
    <row r="59" ht="15.75" customHeight="1">
      <c r="E59" s="24"/>
      <c r="J59" s="24"/>
      <c r="V59" s="39"/>
      <c r="W59" s="39"/>
      <c r="X59" s="24"/>
    </row>
    <row r="60" ht="15.75" customHeight="1">
      <c r="E60" s="24"/>
      <c r="J60" s="24"/>
      <c r="V60" s="39"/>
      <c r="W60" s="39"/>
      <c r="X60" s="24"/>
    </row>
    <row r="61" ht="15.75" customHeight="1">
      <c r="E61" s="24"/>
      <c r="J61" s="24"/>
      <c r="V61" s="39"/>
      <c r="W61" s="39"/>
      <c r="X61" s="24"/>
    </row>
    <row r="62" ht="15.75" customHeight="1">
      <c r="E62" s="24"/>
      <c r="J62" s="24"/>
      <c r="V62" s="39"/>
      <c r="W62" s="39"/>
      <c r="X62" s="24"/>
    </row>
    <row r="63" ht="15.75" customHeight="1">
      <c r="E63" s="24"/>
      <c r="J63" s="24"/>
      <c r="V63" s="39"/>
      <c r="W63" s="39"/>
      <c r="X63" s="24"/>
    </row>
    <row r="64" ht="15.75" customHeight="1">
      <c r="E64" s="24"/>
      <c r="J64" s="24"/>
      <c r="V64" s="39"/>
      <c r="W64" s="39"/>
      <c r="X64" s="24"/>
    </row>
    <row r="65" ht="15.75" customHeight="1">
      <c r="E65" s="24"/>
      <c r="J65" s="24"/>
      <c r="V65" s="39"/>
      <c r="W65" s="39"/>
      <c r="X65" s="24"/>
    </row>
    <row r="66" ht="15.75" customHeight="1">
      <c r="E66" s="24"/>
      <c r="J66" s="24"/>
      <c r="V66" s="39"/>
      <c r="W66" s="39"/>
      <c r="X66" s="24"/>
    </row>
    <row r="67" ht="15.75" customHeight="1">
      <c r="E67" s="24"/>
      <c r="J67" s="24"/>
      <c r="V67" s="39"/>
      <c r="W67" s="39"/>
      <c r="X67" s="24"/>
    </row>
    <row r="68" ht="15.75" customHeight="1">
      <c r="E68" s="24"/>
      <c r="J68" s="24"/>
      <c r="V68" s="39"/>
      <c r="W68" s="39"/>
      <c r="X68" s="24"/>
    </row>
    <row r="69" ht="15.75" customHeight="1">
      <c r="E69" s="24"/>
      <c r="J69" s="24"/>
      <c r="V69" s="39"/>
      <c r="W69" s="39"/>
      <c r="X69" s="24"/>
    </row>
    <row r="70" ht="15.75" customHeight="1">
      <c r="E70" s="24"/>
      <c r="J70" s="24"/>
      <c r="V70" s="39"/>
      <c r="W70" s="39"/>
      <c r="X70" s="24"/>
    </row>
    <row r="71" ht="15.75" customHeight="1">
      <c r="E71" s="24"/>
      <c r="J71" s="24"/>
      <c r="V71" s="39"/>
      <c r="W71" s="39"/>
      <c r="X71" s="24"/>
    </row>
    <row r="72" ht="15.75" customHeight="1">
      <c r="E72" s="24"/>
      <c r="J72" s="24"/>
      <c r="V72" s="39"/>
      <c r="W72" s="39"/>
      <c r="X72" s="24"/>
    </row>
    <row r="73" ht="15.75" customHeight="1">
      <c r="E73" s="24"/>
      <c r="J73" s="24"/>
      <c r="V73" s="39"/>
      <c r="W73" s="39"/>
      <c r="X73" s="24"/>
    </row>
    <row r="74" ht="15.75" customHeight="1">
      <c r="E74" s="24"/>
      <c r="J74" s="24"/>
      <c r="V74" s="39"/>
      <c r="W74" s="39"/>
      <c r="X74" s="24"/>
    </row>
    <row r="75" ht="15.75" customHeight="1">
      <c r="E75" s="24"/>
      <c r="J75" s="24"/>
      <c r="V75" s="39"/>
      <c r="W75" s="39"/>
      <c r="X75" s="24"/>
    </row>
    <row r="76" ht="15.75" customHeight="1">
      <c r="E76" s="24"/>
      <c r="J76" s="24"/>
      <c r="V76" s="39"/>
      <c r="W76" s="39"/>
      <c r="X76" s="24"/>
    </row>
    <row r="77" ht="15.75" customHeight="1">
      <c r="E77" s="24"/>
      <c r="J77" s="24"/>
      <c r="V77" s="39"/>
      <c r="W77" s="39"/>
      <c r="X77" s="24"/>
    </row>
    <row r="78" ht="15.75" customHeight="1">
      <c r="E78" s="24"/>
      <c r="J78" s="24"/>
      <c r="V78" s="39"/>
      <c r="W78" s="39"/>
      <c r="X78" s="24"/>
    </row>
    <row r="79" ht="15.75" customHeight="1">
      <c r="E79" s="24"/>
      <c r="J79" s="24"/>
      <c r="V79" s="39"/>
      <c r="W79" s="39"/>
      <c r="X79" s="24"/>
    </row>
    <row r="80" ht="15.75" customHeight="1">
      <c r="E80" s="24"/>
      <c r="J80" s="24"/>
      <c r="V80" s="39"/>
      <c r="W80" s="39"/>
      <c r="X80" s="24"/>
    </row>
    <row r="81" ht="15.75" customHeight="1">
      <c r="E81" s="24"/>
      <c r="J81" s="24"/>
      <c r="V81" s="39"/>
      <c r="W81" s="39"/>
      <c r="X81" s="24"/>
    </row>
    <row r="82" ht="15.75" customHeight="1">
      <c r="E82" s="24"/>
      <c r="J82" s="24"/>
      <c r="V82" s="39"/>
      <c r="W82" s="39"/>
      <c r="X82" s="24"/>
    </row>
    <row r="83" ht="15.75" customHeight="1">
      <c r="E83" s="24"/>
      <c r="J83" s="24"/>
      <c r="V83" s="39"/>
      <c r="W83" s="39"/>
      <c r="X83" s="24"/>
    </row>
    <row r="84" ht="15.75" customHeight="1">
      <c r="E84" s="24"/>
      <c r="J84" s="24"/>
      <c r="V84" s="39"/>
      <c r="W84" s="39"/>
      <c r="X84" s="24"/>
    </row>
    <row r="85" ht="15.75" customHeight="1">
      <c r="E85" s="24"/>
      <c r="J85" s="24"/>
      <c r="V85" s="39"/>
      <c r="W85" s="39"/>
      <c r="X85" s="24"/>
    </row>
    <row r="86" ht="15.75" customHeight="1">
      <c r="E86" s="24"/>
      <c r="J86" s="24"/>
      <c r="V86" s="39"/>
      <c r="W86" s="39"/>
      <c r="X86" s="24"/>
    </row>
    <row r="87" ht="15.75" customHeight="1">
      <c r="E87" s="24"/>
      <c r="J87" s="24"/>
      <c r="V87" s="39"/>
      <c r="W87" s="39"/>
      <c r="X87" s="24"/>
    </row>
    <row r="88" ht="15.75" customHeight="1">
      <c r="E88" s="24"/>
      <c r="J88" s="24"/>
      <c r="V88" s="39"/>
      <c r="W88" s="39"/>
      <c r="X88" s="24"/>
    </row>
    <row r="89" ht="15.75" customHeight="1">
      <c r="E89" s="24"/>
      <c r="J89" s="24"/>
      <c r="V89" s="39"/>
      <c r="W89" s="39"/>
      <c r="X89" s="24"/>
    </row>
    <row r="90" ht="15.75" customHeight="1">
      <c r="E90" s="24"/>
      <c r="J90" s="24"/>
      <c r="V90" s="39"/>
      <c r="W90" s="39"/>
      <c r="X90" s="24"/>
    </row>
    <row r="91" ht="15.75" customHeight="1">
      <c r="E91" s="24"/>
      <c r="J91" s="24"/>
      <c r="V91" s="39"/>
      <c r="W91" s="39"/>
      <c r="X91" s="24"/>
    </row>
    <row r="92" ht="15.75" customHeight="1">
      <c r="E92" s="24"/>
      <c r="J92" s="24"/>
      <c r="V92" s="39"/>
      <c r="W92" s="39"/>
      <c r="X92" s="24"/>
    </row>
    <row r="93" ht="15.75" customHeight="1">
      <c r="E93" s="24"/>
      <c r="J93" s="24"/>
      <c r="V93" s="39"/>
      <c r="W93" s="39"/>
      <c r="X93" s="24"/>
    </row>
    <row r="94" ht="15.75" customHeight="1">
      <c r="E94" s="24"/>
      <c r="J94" s="24"/>
      <c r="V94" s="39"/>
      <c r="W94" s="39"/>
      <c r="X94" s="24"/>
    </row>
    <row r="95" ht="15.75" customHeight="1">
      <c r="E95" s="24"/>
      <c r="J95" s="24"/>
      <c r="V95" s="39"/>
      <c r="W95" s="39"/>
      <c r="X95" s="24"/>
    </row>
    <row r="96" ht="15.75" customHeight="1">
      <c r="E96" s="24"/>
      <c r="J96" s="24"/>
      <c r="V96" s="39"/>
      <c r="W96" s="39"/>
      <c r="X96" s="24"/>
    </row>
    <row r="97" ht="15.75" customHeight="1">
      <c r="E97" s="24"/>
      <c r="J97" s="24"/>
      <c r="V97" s="39"/>
      <c r="W97" s="39"/>
      <c r="X97" s="24"/>
    </row>
    <row r="98" ht="15.75" customHeight="1">
      <c r="E98" s="24"/>
      <c r="J98" s="24"/>
      <c r="V98" s="39"/>
      <c r="W98" s="39"/>
      <c r="X98" s="24"/>
    </row>
    <row r="99" ht="15.75" customHeight="1">
      <c r="E99" s="24"/>
      <c r="J99" s="24"/>
      <c r="V99" s="39"/>
      <c r="W99" s="39"/>
      <c r="X99" s="24"/>
    </row>
    <row r="100" ht="15.75" customHeight="1">
      <c r="E100" s="24"/>
      <c r="J100" s="24"/>
      <c r="V100" s="39"/>
      <c r="W100" s="39"/>
      <c r="X100" s="24"/>
    </row>
    <row r="101" ht="15.75" customHeight="1">
      <c r="E101" s="24"/>
      <c r="J101" s="24"/>
      <c r="V101" s="39"/>
      <c r="W101" s="39"/>
      <c r="X101" s="24"/>
    </row>
    <row r="102" ht="15.75" customHeight="1">
      <c r="E102" s="24"/>
      <c r="J102" s="24"/>
      <c r="V102" s="39"/>
      <c r="W102" s="39"/>
      <c r="X102" s="24"/>
    </row>
    <row r="103" ht="15.75" customHeight="1">
      <c r="E103" s="24"/>
      <c r="J103" s="24"/>
      <c r="V103" s="39"/>
      <c r="W103" s="39"/>
      <c r="X103" s="24"/>
    </row>
    <row r="104" ht="15.75" customHeight="1">
      <c r="E104" s="24"/>
      <c r="J104" s="24"/>
      <c r="V104" s="39"/>
      <c r="W104" s="39"/>
      <c r="X104" s="24"/>
    </row>
    <row r="105" ht="15.75" customHeight="1">
      <c r="E105" s="24"/>
      <c r="J105" s="24"/>
      <c r="V105" s="39"/>
      <c r="W105" s="39"/>
      <c r="X105" s="24"/>
    </row>
    <row r="106" ht="15.75" customHeight="1">
      <c r="E106" s="24"/>
      <c r="J106" s="24"/>
      <c r="V106" s="39"/>
      <c r="W106" s="39"/>
      <c r="X106" s="24"/>
    </row>
    <row r="107" ht="15.75" customHeight="1">
      <c r="E107" s="24"/>
      <c r="J107" s="24"/>
      <c r="V107" s="39"/>
      <c r="W107" s="39"/>
      <c r="X107" s="24"/>
    </row>
    <row r="108" ht="15.75" customHeight="1">
      <c r="E108" s="24"/>
      <c r="J108" s="24"/>
      <c r="V108" s="39"/>
      <c r="W108" s="39"/>
      <c r="X108" s="24"/>
    </row>
    <row r="109" ht="15.75" customHeight="1">
      <c r="E109" s="24"/>
      <c r="J109" s="24"/>
      <c r="V109" s="39"/>
      <c r="W109" s="39"/>
      <c r="X109" s="24"/>
    </row>
    <row r="110" ht="15.75" customHeight="1">
      <c r="E110" s="24"/>
      <c r="J110" s="24"/>
      <c r="V110" s="39"/>
      <c r="W110" s="39"/>
      <c r="X110" s="24"/>
    </row>
    <row r="111" ht="15.75" customHeight="1">
      <c r="E111" s="24"/>
      <c r="J111" s="24"/>
      <c r="V111" s="39"/>
      <c r="W111" s="39"/>
      <c r="X111" s="24"/>
    </row>
    <row r="112" ht="15.75" customHeight="1">
      <c r="E112" s="24"/>
      <c r="J112" s="24"/>
      <c r="V112" s="39"/>
      <c r="W112" s="39"/>
      <c r="X112" s="24"/>
    </row>
    <row r="113" ht="15.75" customHeight="1">
      <c r="E113" s="24"/>
      <c r="J113" s="24"/>
      <c r="V113" s="39"/>
      <c r="W113" s="39"/>
      <c r="X113" s="24"/>
    </row>
    <row r="114" ht="15.75" customHeight="1">
      <c r="E114" s="24"/>
      <c r="J114" s="24"/>
      <c r="V114" s="39"/>
      <c r="W114" s="39"/>
      <c r="X114" s="24"/>
    </row>
    <row r="115" ht="15.75" customHeight="1">
      <c r="E115" s="24"/>
      <c r="J115" s="24"/>
      <c r="V115" s="39"/>
      <c r="W115" s="39"/>
      <c r="X115" s="24"/>
    </row>
    <row r="116" ht="15.75" customHeight="1">
      <c r="E116" s="24"/>
      <c r="J116" s="24"/>
      <c r="V116" s="39"/>
      <c r="W116" s="39"/>
      <c r="X116" s="24"/>
    </row>
    <row r="117" ht="15.75" customHeight="1">
      <c r="E117" s="24"/>
      <c r="J117" s="24"/>
      <c r="V117" s="39"/>
      <c r="W117" s="39"/>
      <c r="X117" s="24"/>
    </row>
    <row r="118" ht="15.75" customHeight="1">
      <c r="E118" s="24"/>
      <c r="J118" s="24"/>
      <c r="V118" s="39"/>
      <c r="W118" s="39"/>
      <c r="X118" s="24"/>
    </row>
    <row r="119" ht="15.75" customHeight="1">
      <c r="E119" s="24"/>
      <c r="J119" s="24"/>
      <c r="V119" s="39"/>
      <c r="W119" s="39"/>
      <c r="X119" s="24"/>
    </row>
    <row r="120" ht="15.75" customHeight="1">
      <c r="E120" s="24"/>
      <c r="J120" s="24"/>
      <c r="V120" s="39"/>
      <c r="W120" s="39"/>
      <c r="X120" s="24"/>
    </row>
    <row r="121" ht="15.75" customHeight="1">
      <c r="E121" s="24"/>
      <c r="J121" s="24"/>
      <c r="V121" s="39"/>
      <c r="W121" s="39"/>
      <c r="X121" s="24"/>
    </row>
    <row r="122" ht="15.75" customHeight="1">
      <c r="E122" s="24"/>
      <c r="J122" s="24"/>
      <c r="V122" s="39"/>
      <c r="W122" s="39"/>
      <c r="X122" s="24"/>
    </row>
    <row r="123" ht="15.75" customHeight="1">
      <c r="E123" s="24"/>
      <c r="J123" s="24"/>
      <c r="V123" s="39"/>
      <c r="W123" s="39"/>
      <c r="X123" s="24"/>
    </row>
    <row r="124" ht="15.75" customHeight="1">
      <c r="E124" s="24"/>
      <c r="J124" s="24"/>
      <c r="V124" s="39"/>
      <c r="W124" s="39"/>
      <c r="X124" s="24"/>
    </row>
    <row r="125" ht="15.75" customHeight="1">
      <c r="E125" s="24"/>
      <c r="J125" s="24"/>
      <c r="V125" s="39"/>
      <c r="W125" s="39"/>
      <c r="X125" s="24"/>
    </row>
    <row r="126" ht="15.75" customHeight="1">
      <c r="E126" s="24"/>
      <c r="J126" s="24"/>
      <c r="V126" s="39"/>
      <c r="W126" s="39"/>
      <c r="X126" s="24"/>
    </row>
    <row r="127" ht="15.75" customHeight="1">
      <c r="E127" s="24"/>
      <c r="J127" s="24"/>
      <c r="V127" s="39"/>
      <c r="W127" s="39"/>
      <c r="X127" s="24"/>
    </row>
    <row r="128" ht="15.75" customHeight="1">
      <c r="E128" s="24"/>
      <c r="J128" s="24"/>
      <c r="V128" s="39"/>
      <c r="W128" s="39"/>
      <c r="X128" s="24"/>
    </row>
    <row r="129" ht="15.75" customHeight="1">
      <c r="E129" s="24"/>
      <c r="J129" s="24"/>
      <c r="V129" s="39"/>
      <c r="W129" s="39"/>
      <c r="X129" s="24"/>
    </row>
    <row r="130" ht="15.75" customHeight="1">
      <c r="E130" s="24"/>
      <c r="J130" s="24"/>
      <c r="V130" s="39"/>
      <c r="W130" s="39"/>
      <c r="X130" s="24"/>
    </row>
    <row r="131" ht="15.75" customHeight="1">
      <c r="E131" s="24"/>
      <c r="J131" s="24"/>
      <c r="V131" s="39"/>
      <c r="W131" s="39"/>
      <c r="X131" s="24"/>
    </row>
    <row r="132" ht="15.75" customHeight="1">
      <c r="E132" s="24"/>
      <c r="J132" s="24"/>
      <c r="V132" s="39"/>
      <c r="W132" s="39"/>
      <c r="X132" s="24"/>
    </row>
    <row r="133" ht="15.75" customHeight="1">
      <c r="E133" s="24"/>
      <c r="J133" s="24"/>
      <c r="V133" s="39"/>
      <c r="W133" s="39"/>
      <c r="X133" s="24"/>
    </row>
    <row r="134" ht="15.75" customHeight="1">
      <c r="E134" s="24"/>
      <c r="J134" s="24"/>
      <c r="V134" s="39"/>
      <c r="W134" s="39"/>
      <c r="X134" s="24"/>
    </row>
    <row r="135" ht="15.75" customHeight="1">
      <c r="E135" s="24"/>
      <c r="J135" s="24"/>
      <c r="V135" s="39"/>
      <c r="W135" s="39"/>
      <c r="X135" s="24"/>
    </row>
    <row r="136" ht="15.75" customHeight="1">
      <c r="E136" s="24"/>
      <c r="J136" s="24"/>
      <c r="V136" s="39"/>
      <c r="W136" s="39"/>
      <c r="X136" s="24"/>
    </row>
    <row r="137" ht="15.75" customHeight="1">
      <c r="E137" s="24"/>
      <c r="J137" s="24"/>
      <c r="V137" s="39"/>
      <c r="W137" s="39"/>
      <c r="X137" s="24"/>
    </row>
    <row r="138" ht="15.75" customHeight="1">
      <c r="E138" s="24"/>
      <c r="J138" s="24"/>
      <c r="V138" s="39"/>
      <c r="W138" s="39"/>
      <c r="X138" s="24"/>
    </row>
    <row r="139" ht="15.75" customHeight="1">
      <c r="E139" s="24"/>
      <c r="J139" s="24"/>
      <c r="V139" s="39"/>
      <c r="W139" s="39"/>
      <c r="X139" s="24"/>
    </row>
    <row r="140" ht="15.75" customHeight="1">
      <c r="E140" s="24"/>
      <c r="J140" s="24"/>
      <c r="V140" s="39"/>
      <c r="W140" s="39"/>
      <c r="X140" s="24"/>
    </row>
    <row r="141" ht="15.75" customHeight="1">
      <c r="E141" s="24"/>
      <c r="J141" s="24"/>
      <c r="V141" s="39"/>
      <c r="W141" s="39"/>
      <c r="X141" s="24"/>
    </row>
    <row r="142" ht="15.75" customHeight="1">
      <c r="E142" s="24"/>
      <c r="J142" s="24"/>
      <c r="V142" s="39"/>
      <c r="W142" s="39"/>
      <c r="X142" s="24"/>
    </row>
    <row r="143" ht="15.75" customHeight="1">
      <c r="E143" s="24"/>
      <c r="J143" s="24"/>
      <c r="V143" s="39"/>
      <c r="W143" s="39"/>
      <c r="X143" s="24"/>
    </row>
    <row r="144" ht="15.75" customHeight="1">
      <c r="E144" s="24"/>
      <c r="J144" s="24"/>
      <c r="V144" s="39"/>
      <c r="W144" s="39"/>
      <c r="X144" s="24"/>
    </row>
    <row r="145" ht="15.75" customHeight="1">
      <c r="E145" s="24"/>
      <c r="J145" s="24"/>
      <c r="V145" s="39"/>
      <c r="W145" s="39"/>
      <c r="X145" s="24"/>
    </row>
    <row r="146" ht="15.75" customHeight="1">
      <c r="E146" s="24"/>
      <c r="J146" s="24"/>
      <c r="V146" s="39"/>
      <c r="W146" s="39"/>
      <c r="X146" s="24"/>
    </row>
    <row r="147" ht="15.75" customHeight="1">
      <c r="E147" s="24"/>
      <c r="J147" s="24"/>
      <c r="V147" s="39"/>
      <c r="W147" s="39"/>
      <c r="X147" s="24"/>
    </row>
    <row r="148" ht="15.75" customHeight="1">
      <c r="E148" s="24"/>
      <c r="J148" s="24"/>
      <c r="V148" s="39"/>
      <c r="W148" s="39"/>
      <c r="X148" s="24"/>
    </row>
    <row r="149" ht="15.75" customHeight="1">
      <c r="E149" s="24"/>
      <c r="J149" s="24"/>
      <c r="V149" s="39"/>
      <c r="W149" s="39"/>
      <c r="X149" s="24"/>
    </row>
    <row r="150" ht="15.75" customHeight="1">
      <c r="E150" s="24"/>
      <c r="J150" s="24"/>
      <c r="V150" s="39"/>
      <c r="W150" s="39"/>
      <c r="X150" s="24"/>
    </row>
    <row r="151" ht="15.75" customHeight="1">
      <c r="E151" s="24"/>
      <c r="J151" s="24"/>
      <c r="V151" s="39"/>
      <c r="W151" s="39"/>
      <c r="X151" s="24"/>
    </row>
    <row r="152" ht="15.75" customHeight="1">
      <c r="E152" s="24"/>
      <c r="J152" s="24"/>
      <c r="V152" s="39"/>
      <c r="W152" s="39"/>
      <c r="X152" s="24"/>
    </row>
    <row r="153" ht="15.75" customHeight="1">
      <c r="E153" s="24"/>
      <c r="J153" s="24"/>
      <c r="V153" s="39"/>
      <c r="W153" s="39"/>
      <c r="X153" s="24"/>
    </row>
    <row r="154" ht="15.75" customHeight="1">
      <c r="E154" s="24"/>
      <c r="J154" s="24"/>
      <c r="V154" s="39"/>
      <c r="W154" s="39"/>
      <c r="X154" s="24"/>
    </row>
    <row r="155" ht="15.75" customHeight="1">
      <c r="E155" s="24"/>
      <c r="J155" s="24"/>
      <c r="V155" s="39"/>
      <c r="W155" s="39"/>
      <c r="X155" s="24"/>
    </row>
    <row r="156" ht="15.75" customHeight="1">
      <c r="E156" s="24"/>
      <c r="J156" s="24"/>
      <c r="V156" s="39"/>
      <c r="W156" s="39"/>
      <c r="X156" s="24"/>
    </row>
    <row r="157" ht="15.75" customHeight="1">
      <c r="E157" s="24"/>
      <c r="J157" s="24"/>
      <c r="V157" s="39"/>
      <c r="W157" s="39"/>
      <c r="X157" s="24"/>
    </row>
    <row r="158" ht="15.75" customHeight="1">
      <c r="E158" s="24"/>
      <c r="J158" s="24"/>
      <c r="V158" s="39"/>
      <c r="W158" s="39"/>
      <c r="X158" s="24"/>
    </row>
    <row r="159" ht="15.75" customHeight="1">
      <c r="E159" s="24"/>
      <c r="J159" s="24"/>
      <c r="V159" s="39"/>
      <c r="W159" s="39"/>
      <c r="X159" s="24"/>
    </row>
    <row r="160" ht="15.75" customHeight="1">
      <c r="E160" s="24"/>
      <c r="J160" s="24"/>
      <c r="V160" s="39"/>
      <c r="W160" s="39"/>
      <c r="X160" s="24"/>
    </row>
    <row r="161" ht="15.75" customHeight="1">
      <c r="E161" s="24"/>
      <c r="J161" s="24"/>
      <c r="V161" s="39"/>
      <c r="W161" s="39"/>
      <c r="X161" s="24"/>
    </row>
    <row r="162" ht="15.75" customHeight="1">
      <c r="E162" s="24"/>
      <c r="J162" s="24"/>
      <c r="V162" s="39"/>
      <c r="W162" s="39"/>
      <c r="X162" s="24"/>
    </row>
    <row r="163" ht="15.75" customHeight="1">
      <c r="E163" s="24"/>
      <c r="J163" s="24"/>
      <c r="V163" s="39"/>
      <c r="W163" s="39"/>
      <c r="X163" s="24"/>
    </row>
    <row r="164" ht="15.75" customHeight="1">
      <c r="E164" s="24"/>
      <c r="J164" s="24"/>
      <c r="V164" s="39"/>
      <c r="W164" s="39"/>
      <c r="X164" s="24"/>
    </row>
    <row r="165" ht="15.75" customHeight="1">
      <c r="E165" s="24"/>
      <c r="J165" s="24"/>
      <c r="V165" s="39"/>
      <c r="W165" s="39"/>
      <c r="X165" s="24"/>
    </row>
    <row r="166" ht="15.75" customHeight="1">
      <c r="E166" s="24"/>
      <c r="J166" s="24"/>
      <c r="V166" s="39"/>
      <c r="W166" s="39"/>
      <c r="X166" s="24"/>
    </row>
    <row r="167" ht="15.75" customHeight="1">
      <c r="E167" s="24"/>
      <c r="J167" s="24"/>
      <c r="V167" s="39"/>
      <c r="W167" s="39"/>
      <c r="X167" s="24"/>
    </row>
    <row r="168" ht="15.75" customHeight="1">
      <c r="E168" s="24"/>
      <c r="J168" s="24"/>
      <c r="V168" s="39"/>
      <c r="W168" s="39"/>
      <c r="X168" s="24"/>
    </row>
    <row r="169" ht="15.75" customHeight="1">
      <c r="E169" s="24"/>
      <c r="J169" s="24"/>
      <c r="V169" s="39"/>
      <c r="W169" s="39"/>
      <c r="X169" s="24"/>
    </row>
    <row r="170" ht="15.75" customHeight="1">
      <c r="E170" s="24"/>
      <c r="J170" s="24"/>
      <c r="V170" s="39"/>
      <c r="W170" s="39"/>
      <c r="X170" s="24"/>
    </row>
    <row r="171" ht="15.75" customHeight="1">
      <c r="E171" s="24"/>
      <c r="J171" s="24"/>
      <c r="V171" s="39"/>
      <c r="W171" s="39"/>
      <c r="X171" s="24"/>
    </row>
    <row r="172" ht="15.75" customHeight="1">
      <c r="E172" s="24"/>
      <c r="J172" s="24"/>
      <c r="V172" s="39"/>
      <c r="W172" s="39"/>
      <c r="X172" s="24"/>
    </row>
    <row r="173" ht="15.75" customHeight="1">
      <c r="E173" s="24"/>
      <c r="J173" s="24"/>
      <c r="V173" s="39"/>
      <c r="W173" s="39"/>
      <c r="X173" s="24"/>
    </row>
    <row r="174" ht="15.75" customHeight="1">
      <c r="E174" s="24"/>
      <c r="J174" s="24"/>
      <c r="V174" s="39"/>
      <c r="W174" s="39"/>
      <c r="X174" s="24"/>
    </row>
    <row r="175" ht="15.75" customHeight="1">
      <c r="E175" s="24"/>
      <c r="J175" s="24"/>
      <c r="V175" s="39"/>
      <c r="W175" s="39"/>
      <c r="X175" s="24"/>
    </row>
    <row r="176" ht="15.75" customHeight="1">
      <c r="E176" s="24"/>
      <c r="J176" s="24"/>
      <c r="V176" s="39"/>
      <c r="W176" s="39"/>
      <c r="X176" s="24"/>
    </row>
    <row r="177" ht="15.75" customHeight="1">
      <c r="E177" s="24"/>
      <c r="J177" s="24"/>
      <c r="V177" s="39"/>
      <c r="W177" s="39"/>
      <c r="X177" s="24"/>
    </row>
    <row r="178" ht="15.75" customHeight="1">
      <c r="E178" s="24"/>
      <c r="J178" s="24"/>
      <c r="V178" s="39"/>
      <c r="W178" s="39"/>
      <c r="X178" s="24"/>
    </row>
    <row r="179" ht="15.75" customHeight="1">
      <c r="E179" s="24"/>
      <c r="J179" s="24"/>
      <c r="V179" s="39"/>
      <c r="W179" s="39"/>
      <c r="X179" s="24"/>
    </row>
    <row r="180" ht="15.75" customHeight="1">
      <c r="E180" s="24"/>
      <c r="J180" s="24"/>
      <c r="V180" s="39"/>
      <c r="W180" s="39"/>
      <c r="X180" s="24"/>
    </row>
    <row r="181" ht="15.75" customHeight="1">
      <c r="E181" s="24"/>
      <c r="J181" s="24"/>
      <c r="V181" s="39"/>
      <c r="W181" s="39"/>
      <c r="X181" s="24"/>
    </row>
    <row r="182" ht="15.75" customHeight="1">
      <c r="E182" s="24"/>
      <c r="J182" s="24"/>
      <c r="V182" s="39"/>
      <c r="W182" s="39"/>
      <c r="X182" s="24"/>
    </row>
    <row r="183" ht="15.75" customHeight="1">
      <c r="E183" s="24"/>
      <c r="J183" s="24"/>
      <c r="V183" s="39"/>
      <c r="W183" s="39"/>
      <c r="X183" s="24"/>
    </row>
    <row r="184" ht="15.75" customHeight="1">
      <c r="E184" s="24"/>
      <c r="J184" s="24"/>
      <c r="V184" s="39"/>
      <c r="W184" s="39"/>
      <c r="X184" s="24"/>
    </row>
    <row r="185" ht="15.75" customHeight="1">
      <c r="E185" s="24"/>
      <c r="J185" s="24"/>
      <c r="V185" s="39"/>
      <c r="W185" s="39"/>
      <c r="X185" s="24"/>
    </row>
    <row r="186" ht="15.75" customHeight="1">
      <c r="E186" s="24"/>
      <c r="J186" s="24"/>
      <c r="V186" s="39"/>
      <c r="W186" s="39"/>
      <c r="X186" s="24"/>
    </row>
    <row r="187" ht="15.75" customHeight="1">
      <c r="E187" s="24"/>
      <c r="J187" s="24"/>
      <c r="V187" s="39"/>
      <c r="W187" s="39"/>
      <c r="X187" s="24"/>
    </row>
    <row r="188" ht="15.75" customHeight="1">
      <c r="E188" s="24"/>
      <c r="J188" s="24"/>
      <c r="V188" s="39"/>
      <c r="W188" s="39"/>
      <c r="X188" s="24"/>
    </row>
    <row r="189" ht="15.75" customHeight="1">
      <c r="E189" s="24"/>
      <c r="J189" s="24"/>
      <c r="V189" s="39"/>
      <c r="W189" s="39"/>
      <c r="X189" s="24"/>
    </row>
    <row r="190" ht="15.75" customHeight="1">
      <c r="E190" s="24"/>
      <c r="J190" s="24"/>
      <c r="V190" s="39"/>
      <c r="W190" s="39"/>
      <c r="X190" s="24"/>
    </row>
    <row r="191" ht="15.75" customHeight="1">
      <c r="E191" s="24"/>
      <c r="J191" s="24"/>
      <c r="V191" s="39"/>
      <c r="W191" s="39"/>
      <c r="X191" s="24"/>
    </row>
    <row r="192" ht="15.75" customHeight="1">
      <c r="E192" s="24"/>
      <c r="J192" s="24"/>
      <c r="V192" s="39"/>
      <c r="W192" s="39"/>
      <c r="X192" s="24"/>
    </row>
    <row r="193" ht="15.75" customHeight="1">
      <c r="E193" s="24"/>
      <c r="J193" s="24"/>
      <c r="V193" s="39"/>
      <c r="W193" s="39"/>
      <c r="X193" s="24"/>
    </row>
    <row r="194" ht="15.75" customHeight="1">
      <c r="E194" s="24"/>
      <c r="J194" s="24"/>
      <c r="V194" s="39"/>
      <c r="W194" s="39"/>
      <c r="X194" s="24"/>
    </row>
    <row r="195" ht="15.75" customHeight="1">
      <c r="E195" s="24"/>
      <c r="J195" s="24"/>
      <c r="V195" s="39"/>
      <c r="W195" s="39"/>
      <c r="X195" s="24"/>
    </row>
    <row r="196" ht="15.75" customHeight="1">
      <c r="E196" s="24"/>
      <c r="J196" s="24"/>
      <c r="V196" s="39"/>
      <c r="W196" s="39"/>
      <c r="X196" s="24"/>
    </row>
    <row r="197" ht="15.75" customHeight="1">
      <c r="E197" s="24"/>
      <c r="J197" s="24"/>
      <c r="V197" s="39"/>
      <c r="W197" s="39"/>
      <c r="X197" s="24"/>
    </row>
    <row r="198" ht="15.75" customHeight="1">
      <c r="E198" s="24"/>
      <c r="J198" s="24"/>
      <c r="V198" s="39"/>
      <c r="W198" s="39"/>
      <c r="X198" s="24"/>
    </row>
    <row r="199" ht="15.75" customHeight="1">
      <c r="E199" s="24"/>
      <c r="J199" s="24"/>
      <c r="V199" s="39"/>
      <c r="W199" s="39"/>
      <c r="X199" s="24"/>
    </row>
    <row r="200" ht="15.75" customHeight="1">
      <c r="E200" s="24"/>
      <c r="J200" s="24"/>
      <c r="V200" s="39"/>
      <c r="W200" s="39"/>
      <c r="X200" s="24"/>
    </row>
    <row r="201" ht="15.75" customHeight="1">
      <c r="E201" s="24"/>
      <c r="J201" s="24"/>
      <c r="V201" s="39"/>
      <c r="W201" s="39"/>
      <c r="X201" s="24"/>
    </row>
    <row r="202" ht="15.75" customHeight="1">
      <c r="E202" s="24"/>
      <c r="J202" s="24"/>
      <c r="V202" s="39"/>
      <c r="W202" s="39"/>
      <c r="X202" s="24"/>
    </row>
    <row r="203" ht="15.75" customHeight="1">
      <c r="E203" s="24"/>
      <c r="J203" s="24"/>
      <c r="V203" s="39"/>
      <c r="W203" s="39"/>
      <c r="X203" s="24"/>
    </row>
    <row r="204" ht="15.75" customHeight="1">
      <c r="E204" s="24"/>
      <c r="J204" s="24"/>
      <c r="V204" s="39"/>
      <c r="W204" s="39"/>
      <c r="X204" s="24"/>
    </row>
    <row r="205" ht="15.75" customHeight="1">
      <c r="E205" s="24"/>
      <c r="J205" s="24"/>
      <c r="V205" s="39"/>
      <c r="W205" s="39"/>
      <c r="X205" s="24"/>
    </row>
    <row r="206" ht="15.75" customHeight="1">
      <c r="E206" s="24"/>
      <c r="J206" s="24"/>
      <c r="V206" s="39"/>
      <c r="W206" s="39"/>
      <c r="X206" s="24"/>
    </row>
    <row r="207" ht="15.75" customHeight="1">
      <c r="E207" s="24"/>
      <c r="J207" s="24"/>
      <c r="V207" s="39"/>
      <c r="W207" s="39"/>
      <c r="X207" s="24"/>
    </row>
    <row r="208" ht="15.75" customHeight="1">
      <c r="E208" s="24"/>
      <c r="J208" s="24"/>
      <c r="V208" s="39"/>
      <c r="W208" s="39"/>
      <c r="X208" s="24"/>
    </row>
    <row r="209" ht="15.75" customHeight="1">
      <c r="E209" s="24"/>
      <c r="J209" s="24"/>
      <c r="V209" s="39"/>
      <c r="W209" s="39"/>
      <c r="X209" s="24"/>
    </row>
    <row r="210" ht="15.75" customHeight="1">
      <c r="E210" s="24"/>
      <c r="J210" s="24"/>
      <c r="V210" s="39"/>
      <c r="W210" s="39"/>
      <c r="X210" s="24"/>
    </row>
    <row r="211" ht="15.75" customHeight="1">
      <c r="E211" s="24"/>
      <c r="J211" s="24"/>
      <c r="V211" s="39"/>
      <c r="W211" s="39"/>
      <c r="X211" s="24"/>
    </row>
    <row r="212" ht="15.75" customHeight="1">
      <c r="E212" s="24"/>
      <c r="J212" s="24"/>
      <c r="V212" s="39"/>
      <c r="W212" s="39"/>
      <c r="X212" s="24"/>
    </row>
    <row r="213" ht="15.75" customHeight="1">
      <c r="E213" s="24"/>
      <c r="J213" s="24"/>
      <c r="V213" s="39"/>
      <c r="W213" s="39"/>
      <c r="X213" s="24"/>
    </row>
    <row r="214" ht="15.75" customHeight="1">
      <c r="E214" s="24"/>
      <c r="J214" s="24"/>
      <c r="V214" s="39"/>
      <c r="W214" s="39"/>
      <c r="X214" s="24"/>
    </row>
    <row r="215" ht="15.75" customHeight="1">
      <c r="E215" s="24"/>
      <c r="J215" s="24"/>
      <c r="V215" s="39"/>
      <c r="W215" s="39"/>
      <c r="X215" s="24"/>
    </row>
    <row r="216" ht="15.75" customHeight="1">
      <c r="E216" s="24"/>
      <c r="J216" s="24"/>
      <c r="V216" s="39"/>
      <c r="W216" s="39"/>
      <c r="X216" s="24"/>
    </row>
    <row r="217" ht="15.75" customHeight="1">
      <c r="E217" s="24"/>
      <c r="J217" s="24"/>
      <c r="V217" s="39"/>
      <c r="W217" s="39"/>
      <c r="X217" s="24"/>
    </row>
    <row r="218" ht="15.75" customHeight="1">
      <c r="E218" s="24"/>
      <c r="J218" s="24"/>
      <c r="V218" s="39"/>
      <c r="W218" s="39"/>
      <c r="X218" s="24"/>
    </row>
    <row r="219" ht="15.75" customHeight="1">
      <c r="E219" s="24"/>
      <c r="J219" s="24"/>
      <c r="V219" s="39"/>
      <c r="W219" s="39"/>
      <c r="X219" s="24"/>
    </row>
    <row r="220" ht="15.75" customHeight="1">
      <c r="E220" s="24"/>
      <c r="J220" s="24"/>
      <c r="V220" s="39"/>
      <c r="W220" s="39"/>
      <c r="X220" s="24"/>
    </row>
    <row r="221" ht="15.75" customHeight="1">
      <c r="E221" s="24"/>
      <c r="J221" s="24"/>
      <c r="V221" s="39"/>
      <c r="W221" s="39"/>
      <c r="X221" s="24"/>
    </row>
    <row r="222" ht="15.75" customHeight="1">
      <c r="E222" s="24"/>
      <c r="J222" s="24"/>
      <c r="V222" s="39"/>
      <c r="W222" s="39"/>
      <c r="X222" s="24"/>
    </row>
    <row r="223" ht="15.75" customHeight="1">
      <c r="E223" s="24"/>
      <c r="J223" s="24"/>
      <c r="V223" s="39"/>
      <c r="W223" s="39"/>
      <c r="X223" s="24"/>
    </row>
    <row r="224" ht="15.75" customHeight="1">
      <c r="E224" s="24"/>
      <c r="J224" s="24"/>
      <c r="V224" s="39"/>
      <c r="W224" s="39"/>
      <c r="X224" s="24"/>
    </row>
    <row r="225" ht="15.75" customHeight="1">
      <c r="E225" s="24"/>
      <c r="J225" s="24"/>
      <c r="V225" s="39"/>
      <c r="W225" s="39"/>
      <c r="X225" s="24"/>
    </row>
    <row r="226" ht="15.75" customHeight="1">
      <c r="E226" s="24"/>
      <c r="J226" s="24"/>
      <c r="V226" s="39"/>
      <c r="W226" s="39"/>
      <c r="X226" s="24"/>
    </row>
    <row r="227" ht="15.75" customHeight="1">
      <c r="E227" s="24"/>
      <c r="J227" s="24"/>
      <c r="V227" s="39"/>
      <c r="W227" s="39"/>
      <c r="X227" s="24"/>
    </row>
    <row r="228" ht="15.75" customHeight="1">
      <c r="E228" s="24"/>
      <c r="J228" s="24"/>
      <c r="V228" s="39"/>
      <c r="W228" s="39"/>
      <c r="X228" s="24"/>
    </row>
    <row r="229" ht="15.75" customHeight="1">
      <c r="E229" s="24"/>
      <c r="J229" s="24"/>
      <c r="V229" s="39"/>
      <c r="W229" s="39"/>
      <c r="X229" s="24"/>
    </row>
    <row r="230" ht="15.75" customHeight="1">
      <c r="E230" s="24"/>
      <c r="J230" s="24"/>
      <c r="V230" s="39"/>
      <c r="W230" s="39"/>
      <c r="X230" s="24"/>
    </row>
    <row r="231" ht="15.75" customHeight="1">
      <c r="E231" s="24"/>
      <c r="J231" s="24"/>
      <c r="V231" s="39"/>
      <c r="W231" s="39"/>
      <c r="X231" s="24"/>
    </row>
    <row r="232" ht="15.75" customHeight="1">
      <c r="E232" s="24"/>
      <c r="J232" s="24"/>
      <c r="V232" s="39"/>
      <c r="W232" s="39"/>
      <c r="X232" s="24"/>
    </row>
    <row r="233" ht="15.75" customHeight="1">
      <c r="E233" s="24"/>
      <c r="J233" s="24"/>
      <c r="V233" s="39"/>
      <c r="W233" s="39"/>
      <c r="X233" s="24"/>
    </row>
    <row r="234" ht="15.75" customHeight="1">
      <c r="E234" s="24"/>
      <c r="J234" s="24"/>
      <c r="V234" s="39"/>
      <c r="W234" s="39"/>
      <c r="X234" s="24"/>
    </row>
    <row r="235" ht="15.75" customHeight="1">
      <c r="E235" s="24"/>
      <c r="J235" s="24"/>
      <c r="V235" s="39"/>
      <c r="W235" s="39"/>
      <c r="X235" s="24"/>
    </row>
    <row r="236" ht="15.75" customHeight="1">
      <c r="E236" s="24"/>
      <c r="J236" s="24"/>
      <c r="V236" s="39"/>
      <c r="W236" s="39"/>
      <c r="X236" s="24"/>
    </row>
    <row r="237" ht="15.75" customHeight="1">
      <c r="E237" s="24"/>
      <c r="J237" s="24"/>
      <c r="V237" s="39"/>
      <c r="W237" s="39"/>
      <c r="X237" s="24"/>
    </row>
    <row r="238" ht="15.75" customHeight="1">
      <c r="E238" s="24"/>
      <c r="J238" s="24"/>
      <c r="V238" s="39"/>
      <c r="W238" s="39"/>
      <c r="X238" s="24"/>
    </row>
    <row r="239" ht="15.75" customHeight="1">
      <c r="E239" s="24"/>
      <c r="J239" s="24"/>
      <c r="V239" s="39"/>
      <c r="W239" s="39"/>
      <c r="X239" s="24"/>
    </row>
    <row r="240" ht="15.75" customHeight="1">
      <c r="E240" s="24"/>
      <c r="J240" s="24"/>
      <c r="V240" s="39"/>
      <c r="W240" s="39"/>
      <c r="X240" s="24"/>
    </row>
    <row r="241" ht="15.75" customHeight="1">
      <c r="E241" s="24"/>
      <c r="J241" s="24"/>
      <c r="V241" s="39"/>
      <c r="W241" s="39"/>
      <c r="X241" s="24"/>
    </row>
    <row r="242" ht="15.75" customHeight="1">
      <c r="E242" s="24"/>
      <c r="J242" s="24"/>
      <c r="V242" s="39"/>
      <c r="W242" s="39"/>
      <c r="X242" s="24"/>
    </row>
    <row r="243" ht="15.75" customHeight="1">
      <c r="E243" s="24"/>
      <c r="J243" s="24"/>
      <c r="V243" s="39"/>
      <c r="W243" s="39"/>
      <c r="X243" s="24"/>
    </row>
    <row r="244" ht="15.75" customHeight="1">
      <c r="E244" s="24"/>
      <c r="J244" s="24"/>
      <c r="V244" s="39"/>
      <c r="W244" s="39"/>
      <c r="X244" s="24"/>
    </row>
    <row r="245" ht="15.75" customHeight="1">
      <c r="E245" s="24"/>
      <c r="J245" s="24"/>
      <c r="V245" s="39"/>
      <c r="W245" s="39"/>
      <c r="X245" s="24"/>
    </row>
    <row r="246" ht="15.75" customHeight="1">
      <c r="E246" s="24"/>
      <c r="J246" s="24"/>
      <c r="V246" s="39"/>
      <c r="W246" s="39"/>
      <c r="X246" s="24"/>
    </row>
    <row r="247" ht="15.75" customHeight="1">
      <c r="E247" s="24"/>
      <c r="J247" s="24"/>
      <c r="V247" s="39"/>
      <c r="W247" s="39"/>
      <c r="X247" s="24"/>
    </row>
    <row r="248" ht="15.75" customHeight="1">
      <c r="E248" s="24"/>
      <c r="J248" s="24"/>
      <c r="V248" s="39"/>
      <c r="W248" s="39"/>
      <c r="X248" s="24"/>
    </row>
    <row r="249" ht="15.75" customHeight="1">
      <c r="E249" s="24"/>
      <c r="J249" s="24"/>
      <c r="V249" s="39"/>
      <c r="W249" s="39"/>
      <c r="X249" s="24"/>
    </row>
    <row r="250" ht="15.75" customHeight="1">
      <c r="E250" s="24"/>
      <c r="J250" s="24"/>
      <c r="V250" s="39"/>
      <c r="W250" s="39"/>
      <c r="X250" s="24"/>
    </row>
    <row r="251" ht="15.75" customHeight="1">
      <c r="E251" s="24"/>
      <c r="J251" s="24"/>
      <c r="V251" s="39"/>
      <c r="W251" s="39"/>
      <c r="X251" s="24"/>
    </row>
    <row r="252" ht="15.75" customHeight="1">
      <c r="E252" s="24"/>
      <c r="J252" s="24"/>
      <c r="V252" s="39"/>
      <c r="W252" s="39"/>
      <c r="X252" s="24"/>
    </row>
    <row r="253" ht="15.75" customHeight="1">
      <c r="E253" s="24"/>
      <c r="J253" s="24"/>
      <c r="V253" s="39"/>
      <c r="W253" s="39"/>
      <c r="X253" s="24"/>
    </row>
    <row r="254" ht="15.75" customHeight="1">
      <c r="E254" s="24"/>
      <c r="J254" s="24"/>
      <c r="V254" s="39"/>
      <c r="W254" s="39"/>
      <c r="X254" s="24"/>
    </row>
    <row r="255" ht="15.75" customHeight="1">
      <c r="E255" s="24"/>
      <c r="J255" s="24"/>
      <c r="V255" s="39"/>
      <c r="W255" s="39"/>
      <c r="X255" s="24"/>
    </row>
    <row r="256" ht="15.75" customHeight="1">
      <c r="E256" s="24"/>
      <c r="J256" s="24"/>
      <c r="V256" s="39"/>
      <c r="W256" s="39"/>
      <c r="X256" s="24"/>
    </row>
    <row r="257" ht="15.75" customHeight="1">
      <c r="E257" s="24"/>
      <c r="J257" s="24"/>
      <c r="V257" s="39"/>
      <c r="W257" s="39"/>
      <c r="X257" s="24"/>
    </row>
    <row r="258" ht="15.75" customHeight="1">
      <c r="E258" s="24"/>
      <c r="J258" s="24"/>
      <c r="V258" s="39"/>
      <c r="W258" s="39"/>
      <c r="X258" s="24"/>
    </row>
    <row r="259" ht="15.75" customHeight="1">
      <c r="E259" s="24"/>
      <c r="J259" s="24"/>
      <c r="V259" s="39"/>
      <c r="W259" s="39"/>
      <c r="X259" s="24"/>
    </row>
    <row r="260" ht="15.75" customHeight="1">
      <c r="E260" s="24"/>
      <c r="J260" s="24"/>
      <c r="V260" s="39"/>
      <c r="W260" s="39"/>
      <c r="X260" s="24"/>
    </row>
    <row r="261" ht="15.75" customHeight="1">
      <c r="E261" s="24"/>
      <c r="J261" s="24"/>
      <c r="V261" s="39"/>
      <c r="W261" s="39"/>
      <c r="X261" s="24"/>
    </row>
    <row r="262" ht="15.75" customHeight="1">
      <c r="E262" s="24"/>
      <c r="J262" s="24"/>
      <c r="V262" s="39"/>
      <c r="W262" s="39"/>
      <c r="X262" s="24"/>
    </row>
    <row r="263" ht="15.75" customHeight="1">
      <c r="E263" s="24"/>
      <c r="J263" s="24"/>
      <c r="V263" s="39"/>
      <c r="W263" s="39"/>
      <c r="X263" s="24"/>
    </row>
    <row r="264" ht="15.75" customHeight="1">
      <c r="E264" s="24"/>
      <c r="J264" s="24"/>
      <c r="V264" s="39"/>
      <c r="W264" s="39"/>
      <c r="X264" s="24"/>
    </row>
    <row r="265" ht="15.75" customHeight="1">
      <c r="E265" s="24"/>
      <c r="J265" s="24"/>
      <c r="V265" s="39"/>
      <c r="W265" s="39"/>
      <c r="X265" s="24"/>
    </row>
    <row r="266" ht="15.75" customHeight="1">
      <c r="E266" s="24"/>
      <c r="J266" s="24"/>
      <c r="V266" s="39"/>
      <c r="W266" s="39"/>
      <c r="X266" s="24"/>
    </row>
    <row r="267" ht="15.75" customHeight="1">
      <c r="E267" s="24"/>
      <c r="J267" s="24"/>
      <c r="V267" s="39"/>
      <c r="W267" s="39"/>
      <c r="X267" s="24"/>
    </row>
    <row r="268" ht="15.75" customHeight="1">
      <c r="E268" s="24"/>
      <c r="J268" s="24"/>
      <c r="V268" s="39"/>
      <c r="W268" s="39"/>
      <c r="X268" s="24"/>
    </row>
    <row r="269" ht="15.75" customHeight="1">
      <c r="E269" s="24"/>
      <c r="J269" s="24"/>
      <c r="V269" s="39"/>
      <c r="W269" s="39"/>
      <c r="X269" s="24"/>
    </row>
    <row r="270" ht="15.75" customHeight="1">
      <c r="E270" s="24"/>
      <c r="J270" s="24"/>
      <c r="V270" s="39"/>
      <c r="W270" s="39"/>
      <c r="X270" s="24"/>
    </row>
    <row r="271" ht="15.75" customHeight="1">
      <c r="E271" s="24"/>
      <c r="J271" s="24"/>
      <c r="V271" s="39"/>
      <c r="W271" s="39"/>
      <c r="X271" s="24"/>
    </row>
    <row r="272" ht="15.75" customHeight="1">
      <c r="E272" s="24"/>
      <c r="J272" s="24"/>
      <c r="V272" s="39"/>
      <c r="W272" s="39"/>
      <c r="X272" s="24"/>
    </row>
    <row r="273" ht="15.75" customHeight="1">
      <c r="E273" s="24"/>
      <c r="J273" s="24"/>
      <c r="V273" s="39"/>
      <c r="W273" s="39"/>
      <c r="X273" s="24"/>
    </row>
    <row r="274" ht="15.75" customHeight="1">
      <c r="E274" s="24"/>
      <c r="J274" s="24"/>
      <c r="V274" s="39"/>
      <c r="W274" s="39"/>
      <c r="X274" s="24"/>
    </row>
    <row r="275" ht="15.75" customHeight="1">
      <c r="E275" s="24"/>
      <c r="J275" s="24"/>
      <c r="V275" s="39"/>
      <c r="W275" s="39"/>
      <c r="X275" s="24"/>
    </row>
    <row r="276" ht="15.75" customHeight="1">
      <c r="E276" s="24"/>
      <c r="J276" s="24"/>
      <c r="V276" s="39"/>
      <c r="W276" s="39"/>
      <c r="X276" s="24"/>
    </row>
    <row r="277" ht="15.75" customHeight="1">
      <c r="E277" s="24"/>
      <c r="J277" s="24"/>
      <c r="V277" s="39"/>
      <c r="W277" s="39"/>
      <c r="X277" s="24"/>
    </row>
    <row r="278" ht="15.75" customHeight="1">
      <c r="E278" s="24"/>
      <c r="J278" s="24"/>
      <c r="V278" s="39"/>
      <c r="W278" s="39"/>
      <c r="X278" s="24"/>
    </row>
    <row r="279" ht="15.75" customHeight="1">
      <c r="E279" s="24"/>
      <c r="J279" s="24"/>
      <c r="V279" s="39"/>
      <c r="W279" s="39"/>
      <c r="X279" s="24"/>
    </row>
    <row r="280" ht="15.75" customHeight="1">
      <c r="E280" s="24"/>
      <c r="J280" s="24"/>
      <c r="V280" s="39"/>
      <c r="W280" s="39"/>
      <c r="X280" s="24"/>
    </row>
    <row r="281" ht="15.75" customHeight="1">
      <c r="E281" s="24"/>
      <c r="J281" s="24"/>
      <c r="V281" s="39"/>
      <c r="W281" s="39"/>
      <c r="X281" s="24"/>
    </row>
    <row r="282" ht="15.75" customHeight="1">
      <c r="E282" s="24"/>
      <c r="J282" s="24"/>
      <c r="V282" s="39"/>
      <c r="W282" s="39"/>
      <c r="X282" s="24"/>
    </row>
    <row r="283" ht="15.75" customHeight="1">
      <c r="E283" s="24"/>
      <c r="J283" s="24"/>
      <c r="V283" s="39"/>
      <c r="W283" s="39"/>
      <c r="X283" s="24"/>
    </row>
    <row r="284" ht="15.75" customHeight="1">
      <c r="E284" s="24"/>
      <c r="J284" s="24"/>
      <c r="V284" s="39"/>
      <c r="W284" s="39"/>
      <c r="X284" s="24"/>
    </row>
    <row r="285" ht="15.75" customHeight="1">
      <c r="E285" s="24"/>
      <c r="J285" s="24"/>
      <c r="V285" s="39"/>
      <c r="W285" s="39"/>
      <c r="X285" s="24"/>
    </row>
    <row r="286" ht="15.75" customHeight="1">
      <c r="E286" s="24"/>
      <c r="J286" s="24"/>
      <c r="V286" s="39"/>
      <c r="W286" s="39"/>
      <c r="X286" s="24"/>
    </row>
    <row r="287" ht="15.75" customHeight="1">
      <c r="E287" s="24"/>
      <c r="J287" s="24"/>
      <c r="V287" s="39"/>
      <c r="W287" s="39"/>
      <c r="X287" s="24"/>
    </row>
    <row r="288" ht="15.75" customHeight="1">
      <c r="E288" s="24"/>
      <c r="J288" s="24"/>
      <c r="V288" s="39"/>
      <c r="W288" s="39"/>
      <c r="X288" s="24"/>
    </row>
    <row r="289" ht="15.75" customHeight="1">
      <c r="E289" s="24"/>
      <c r="J289" s="24"/>
      <c r="V289" s="39"/>
      <c r="W289" s="39"/>
      <c r="X289" s="24"/>
    </row>
    <row r="290" ht="15.75" customHeight="1">
      <c r="E290" s="24"/>
      <c r="J290" s="24"/>
      <c r="V290" s="39"/>
      <c r="W290" s="39"/>
      <c r="X290" s="24"/>
    </row>
    <row r="291" ht="15.75" customHeight="1">
      <c r="E291" s="24"/>
      <c r="J291" s="24"/>
      <c r="V291" s="39"/>
      <c r="W291" s="39"/>
      <c r="X291" s="24"/>
    </row>
    <row r="292" ht="15.75" customHeight="1">
      <c r="E292" s="24"/>
      <c r="J292" s="24"/>
      <c r="V292" s="39"/>
      <c r="W292" s="39"/>
      <c r="X292" s="24"/>
    </row>
    <row r="293" ht="15.75" customHeight="1">
      <c r="E293" s="24"/>
      <c r="J293" s="24"/>
      <c r="V293" s="39"/>
      <c r="W293" s="39"/>
      <c r="X293" s="24"/>
    </row>
    <row r="294" ht="15.75" customHeight="1">
      <c r="E294" s="24"/>
      <c r="J294" s="24"/>
      <c r="V294" s="39"/>
      <c r="W294" s="39"/>
      <c r="X294" s="24"/>
    </row>
    <row r="295" ht="15.75" customHeight="1">
      <c r="E295" s="24"/>
      <c r="J295" s="24"/>
      <c r="V295" s="39"/>
      <c r="W295" s="39"/>
      <c r="X295" s="24"/>
    </row>
    <row r="296" ht="15.75" customHeight="1">
      <c r="E296" s="24"/>
      <c r="J296" s="24"/>
      <c r="V296" s="39"/>
      <c r="W296" s="39"/>
      <c r="X296" s="24"/>
    </row>
    <row r="297" ht="15.75" customHeight="1">
      <c r="E297" s="24"/>
      <c r="J297" s="24"/>
      <c r="V297" s="39"/>
      <c r="W297" s="39"/>
      <c r="X297" s="24"/>
    </row>
    <row r="298" ht="15.75" customHeight="1">
      <c r="E298" s="24"/>
      <c r="J298" s="24"/>
      <c r="V298" s="39"/>
      <c r="W298" s="39"/>
      <c r="X298" s="24"/>
    </row>
    <row r="299" ht="15.75" customHeight="1">
      <c r="E299" s="24"/>
      <c r="J299" s="24"/>
      <c r="V299" s="39"/>
      <c r="W299" s="39"/>
      <c r="X299" s="24"/>
    </row>
    <row r="300" ht="15.75" customHeight="1">
      <c r="E300" s="24"/>
      <c r="J300" s="24"/>
      <c r="V300" s="39"/>
      <c r="W300" s="39"/>
      <c r="X300" s="24"/>
    </row>
    <row r="301" ht="15.75" customHeight="1">
      <c r="E301" s="24"/>
      <c r="J301" s="24"/>
      <c r="V301" s="39"/>
      <c r="W301" s="39"/>
      <c r="X301" s="24"/>
    </row>
    <row r="302" ht="15.75" customHeight="1">
      <c r="E302" s="24"/>
      <c r="J302" s="24"/>
      <c r="V302" s="39"/>
      <c r="W302" s="39"/>
      <c r="X302" s="24"/>
    </row>
    <row r="303" ht="15.75" customHeight="1">
      <c r="E303" s="24"/>
      <c r="J303" s="24"/>
      <c r="V303" s="39"/>
      <c r="W303" s="39"/>
      <c r="X303" s="24"/>
    </row>
    <row r="304" ht="15.75" customHeight="1">
      <c r="E304" s="24"/>
      <c r="J304" s="24"/>
      <c r="V304" s="39"/>
      <c r="W304" s="39"/>
      <c r="X304" s="24"/>
    </row>
    <row r="305" ht="15.75" customHeight="1">
      <c r="E305" s="24"/>
      <c r="J305" s="24"/>
      <c r="V305" s="39"/>
      <c r="W305" s="39"/>
      <c r="X305" s="24"/>
    </row>
    <row r="306" ht="15.75" customHeight="1">
      <c r="E306" s="24"/>
      <c r="J306" s="24"/>
      <c r="V306" s="39"/>
      <c r="W306" s="39"/>
      <c r="X306" s="24"/>
    </row>
    <row r="307" ht="15.75" customHeight="1">
      <c r="E307" s="24"/>
      <c r="J307" s="24"/>
      <c r="V307" s="39"/>
      <c r="W307" s="39"/>
      <c r="X307" s="24"/>
    </row>
    <row r="308" ht="15.75" customHeight="1">
      <c r="E308" s="24"/>
      <c r="J308" s="24"/>
      <c r="V308" s="39"/>
      <c r="W308" s="39"/>
      <c r="X308" s="24"/>
    </row>
    <row r="309" ht="15.75" customHeight="1">
      <c r="E309" s="24"/>
      <c r="J309" s="24"/>
      <c r="V309" s="39"/>
      <c r="W309" s="39"/>
      <c r="X309" s="24"/>
    </row>
    <row r="310" ht="15.75" customHeight="1">
      <c r="E310" s="24"/>
      <c r="J310" s="24"/>
      <c r="V310" s="39"/>
      <c r="W310" s="39"/>
      <c r="X310" s="24"/>
    </row>
    <row r="311" ht="15.75" customHeight="1">
      <c r="E311" s="24"/>
      <c r="J311" s="24"/>
      <c r="V311" s="39"/>
      <c r="W311" s="39"/>
      <c r="X311" s="24"/>
    </row>
    <row r="312" ht="15.75" customHeight="1">
      <c r="E312" s="24"/>
      <c r="J312" s="24"/>
      <c r="V312" s="39"/>
      <c r="W312" s="39"/>
      <c r="X312" s="24"/>
    </row>
    <row r="313" ht="15.75" customHeight="1">
      <c r="E313" s="24"/>
      <c r="J313" s="24"/>
      <c r="V313" s="39"/>
      <c r="W313" s="39"/>
      <c r="X313" s="24"/>
    </row>
    <row r="314" ht="15.75" customHeight="1">
      <c r="E314" s="24"/>
      <c r="J314" s="24"/>
      <c r="V314" s="39"/>
      <c r="W314" s="39"/>
      <c r="X314" s="24"/>
    </row>
    <row r="315" ht="15.75" customHeight="1">
      <c r="E315" s="24"/>
      <c r="J315" s="24"/>
      <c r="V315" s="39"/>
      <c r="W315" s="39"/>
      <c r="X315" s="24"/>
    </row>
    <row r="316" ht="15.75" customHeight="1">
      <c r="E316" s="24"/>
      <c r="J316" s="24"/>
      <c r="V316" s="39"/>
      <c r="W316" s="39"/>
      <c r="X316" s="24"/>
    </row>
    <row r="317" ht="15.75" customHeight="1">
      <c r="E317" s="24"/>
      <c r="J317" s="24"/>
      <c r="V317" s="39"/>
      <c r="W317" s="39"/>
      <c r="X317" s="24"/>
    </row>
    <row r="318" ht="15.75" customHeight="1">
      <c r="E318" s="24"/>
      <c r="J318" s="24"/>
      <c r="V318" s="39"/>
      <c r="W318" s="39"/>
      <c r="X318" s="24"/>
    </row>
    <row r="319" ht="15.75" customHeight="1">
      <c r="E319" s="24"/>
      <c r="J319" s="24"/>
      <c r="V319" s="39"/>
      <c r="W319" s="39"/>
      <c r="X319" s="24"/>
    </row>
    <row r="320" ht="15.75" customHeight="1">
      <c r="E320" s="24"/>
      <c r="J320" s="24"/>
      <c r="V320" s="39"/>
      <c r="W320" s="39"/>
      <c r="X320" s="24"/>
    </row>
    <row r="321" ht="15.75" customHeight="1">
      <c r="E321" s="24"/>
      <c r="J321" s="24"/>
      <c r="V321" s="39"/>
      <c r="W321" s="39"/>
      <c r="X321" s="24"/>
    </row>
    <row r="322" ht="15.75" customHeight="1">
      <c r="E322" s="24"/>
      <c r="J322" s="24"/>
      <c r="V322" s="39"/>
      <c r="W322" s="39"/>
      <c r="X322" s="24"/>
    </row>
    <row r="323" ht="15.75" customHeight="1">
      <c r="E323" s="24"/>
      <c r="J323" s="24"/>
      <c r="V323" s="39"/>
      <c r="W323" s="39"/>
      <c r="X323" s="24"/>
    </row>
    <row r="324" ht="15.75" customHeight="1">
      <c r="E324" s="24"/>
      <c r="J324" s="24"/>
      <c r="V324" s="39"/>
      <c r="W324" s="39"/>
      <c r="X324" s="24"/>
    </row>
    <row r="325" ht="15.75" customHeight="1">
      <c r="E325" s="24"/>
      <c r="J325" s="24"/>
      <c r="V325" s="39"/>
      <c r="W325" s="39"/>
      <c r="X325" s="24"/>
    </row>
    <row r="326" ht="15.75" customHeight="1">
      <c r="E326" s="24"/>
      <c r="J326" s="24"/>
      <c r="V326" s="39"/>
      <c r="W326" s="39"/>
      <c r="X326" s="24"/>
    </row>
    <row r="327" ht="15.75" customHeight="1">
      <c r="E327" s="24"/>
      <c r="J327" s="24"/>
      <c r="V327" s="39"/>
      <c r="W327" s="39"/>
      <c r="X327" s="24"/>
    </row>
    <row r="328" ht="15.75" customHeight="1">
      <c r="E328" s="24"/>
      <c r="J328" s="24"/>
      <c r="V328" s="39"/>
      <c r="W328" s="39"/>
      <c r="X328" s="24"/>
    </row>
    <row r="329" ht="15.75" customHeight="1">
      <c r="E329" s="24"/>
      <c r="J329" s="24"/>
      <c r="V329" s="39"/>
      <c r="W329" s="39"/>
      <c r="X329" s="24"/>
    </row>
    <row r="330" ht="15.75" customHeight="1">
      <c r="E330" s="24"/>
      <c r="J330" s="24"/>
      <c r="V330" s="39"/>
      <c r="W330" s="39"/>
      <c r="X330" s="24"/>
    </row>
    <row r="331" ht="15.75" customHeight="1">
      <c r="E331" s="24"/>
      <c r="J331" s="24"/>
      <c r="V331" s="39"/>
      <c r="W331" s="39"/>
      <c r="X331" s="24"/>
    </row>
    <row r="332" ht="15.75" customHeight="1">
      <c r="E332" s="24"/>
      <c r="J332" s="24"/>
      <c r="V332" s="39"/>
      <c r="W332" s="39"/>
      <c r="X332" s="24"/>
    </row>
    <row r="333" ht="15.75" customHeight="1">
      <c r="E333" s="24"/>
      <c r="J333" s="24"/>
      <c r="V333" s="39"/>
      <c r="W333" s="39"/>
      <c r="X333" s="24"/>
    </row>
    <row r="334" ht="15.75" customHeight="1">
      <c r="E334" s="24"/>
      <c r="J334" s="24"/>
      <c r="V334" s="39"/>
      <c r="W334" s="39"/>
      <c r="X334" s="24"/>
    </row>
    <row r="335" ht="15.75" customHeight="1">
      <c r="E335" s="24"/>
      <c r="J335" s="24"/>
      <c r="V335" s="39"/>
      <c r="W335" s="39"/>
      <c r="X335" s="24"/>
    </row>
    <row r="336" ht="15.75" customHeight="1">
      <c r="E336" s="24"/>
      <c r="J336" s="24"/>
      <c r="V336" s="39"/>
      <c r="W336" s="39"/>
      <c r="X336" s="24"/>
    </row>
    <row r="337" ht="15.75" customHeight="1">
      <c r="E337" s="24"/>
      <c r="J337" s="24"/>
      <c r="V337" s="39"/>
      <c r="W337" s="39"/>
      <c r="X337" s="24"/>
    </row>
    <row r="338" ht="15.75" customHeight="1">
      <c r="E338" s="24"/>
      <c r="J338" s="24"/>
      <c r="V338" s="39"/>
      <c r="W338" s="39"/>
      <c r="X338" s="24"/>
    </row>
    <row r="339" ht="15.75" customHeight="1">
      <c r="E339" s="24"/>
      <c r="J339" s="24"/>
      <c r="V339" s="39"/>
      <c r="W339" s="39"/>
      <c r="X339" s="24"/>
    </row>
    <row r="340" ht="15.75" customHeight="1">
      <c r="E340" s="24"/>
      <c r="J340" s="24"/>
      <c r="V340" s="39"/>
      <c r="W340" s="39"/>
      <c r="X340" s="24"/>
    </row>
    <row r="341" ht="15.75" customHeight="1">
      <c r="E341" s="24"/>
      <c r="J341" s="24"/>
      <c r="V341" s="39"/>
      <c r="W341" s="39"/>
      <c r="X341" s="24"/>
    </row>
    <row r="342" ht="15.75" customHeight="1">
      <c r="E342" s="24"/>
      <c r="J342" s="24"/>
      <c r="V342" s="39"/>
      <c r="W342" s="39"/>
      <c r="X342" s="24"/>
    </row>
    <row r="343" ht="15.75" customHeight="1">
      <c r="E343" s="24"/>
      <c r="J343" s="24"/>
      <c r="V343" s="39"/>
      <c r="W343" s="39"/>
      <c r="X343" s="24"/>
    </row>
    <row r="344" ht="15.75" customHeight="1">
      <c r="E344" s="24"/>
      <c r="J344" s="24"/>
      <c r="V344" s="39"/>
      <c r="W344" s="39"/>
      <c r="X344" s="24"/>
    </row>
    <row r="345" ht="15.75" customHeight="1">
      <c r="E345" s="24"/>
      <c r="J345" s="24"/>
      <c r="V345" s="39"/>
      <c r="W345" s="39"/>
      <c r="X345" s="24"/>
    </row>
    <row r="346" ht="15.75" customHeight="1">
      <c r="E346" s="24"/>
      <c r="J346" s="24"/>
      <c r="V346" s="39"/>
      <c r="W346" s="39"/>
      <c r="X346" s="24"/>
    </row>
    <row r="347" ht="15.75" customHeight="1">
      <c r="E347" s="24"/>
      <c r="J347" s="24"/>
      <c r="V347" s="39"/>
      <c r="W347" s="39"/>
      <c r="X347" s="24"/>
    </row>
    <row r="348" ht="15.75" customHeight="1">
      <c r="E348" s="24"/>
      <c r="J348" s="24"/>
      <c r="V348" s="39"/>
      <c r="W348" s="39"/>
      <c r="X348" s="24"/>
    </row>
    <row r="349" ht="15.75" customHeight="1">
      <c r="E349" s="24"/>
      <c r="J349" s="24"/>
      <c r="V349" s="39"/>
      <c r="W349" s="39"/>
      <c r="X349" s="24"/>
    </row>
    <row r="350" ht="15.75" customHeight="1">
      <c r="E350" s="24"/>
      <c r="J350" s="24"/>
      <c r="V350" s="39"/>
      <c r="W350" s="39"/>
      <c r="X350" s="24"/>
    </row>
    <row r="351" ht="15.75" customHeight="1">
      <c r="E351" s="24"/>
      <c r="J351" s="24"/>
      <c r="V351" s="39"/>
      <c r="W351" s="39"/>
      <c r="X351" s="24"/>
    </row>
    <row r="352" ht="15.75" customHeight="1">
      <c r="E352" s="24"/>
      <c r="J352" s="24"/>
      <c r="V352" s="39"/>
      <c r="W352" s="39"/>
      <c r="X352" s="24"/>
    </row>
    <row r="353" ht="15.75" customHeight="1">
      <c r="E353" s="24"/>
      <c r="J353" s="24"/>
      <c r="V353" s="39"/>
      <c r="W353" s="39"/>
      <c r="X353" s="24"/>
    </row>
    <row r="354" ht="15.75" customHeight="1">
      <c r="E354" s="24"/>
      <c r="J354" s="24"/>
      <c r="V354" s="39"/>
      <c r="W354" s="39"/>
      <c r="X354" s="24"/>
    </row>
    <row r="355" ht="15.75" customHeight="1">
      <c r="E355" s="24"/>
      <c r="J355" s="24"/>
      <c r="V355" s="39"/>
      <c r="W355" s="39"/>
      <c r="X355" s="24"/>
    </row>
    <row r="356" ht="15.75" customHeight="1">
      <c r="E356" s="24"/>
      <c r="J356" s="24"/>
      <c r="V356" s="39"/>
      <c r="W356" s="39"/>
      <c r="X356" s="24"/>
    </row>
    <row r="357" ht="15.75" customHeight="1">
      <c r="E357" s="24"/>
      <c r="J357" s="24"/>
      <c r="V357" s="39"/>
      <c r="W357" s="39"/>
      <c r="X357" s="24"/>
    </row>
    <row r="358" ht="15.75" customHeight="1">
      <c r="E358" s="24"/>
      <c r="J358" s="24"/>
      <c r="V358" s="39"/>
      <c r="W358" s="39"/>
      <c r="X358" s="24"/>
    </row>
    <row r="359" ht="15.75" customHeight="1">
      <c r="E359" s="24"/>
      <c r="J359" s="24"/>
      <c r="V359" s="39"/>
      <c r="W359" s="39"/>
      <c r="X359" s="24"/>
    </row>
    <row r="360" ht="15.75" customHeight="1">
      <c r="E360" s="24"/>
      <c r="J360" s="24"/>
      <c r="V360" s="39"/>
      <c r="W360" s="39"/>
      <c r="X360" s="24"/>
    </row>
    <row r="361" ht="15.75" customHeight="1">
      <c r="E361" s="24"/>
      <c r="J361" s="24"/>
      <c r="V361" s="39"/>
      <c r="W361" s="39"/>
      <c r="X361" s="24"/>
    </row>
    <row r="362" ht="15.75" customHeight="1">
      <c r="E362" s="24"/>
      <c r="J362" s="24"/>
      <c r="V362" s="39"/>
      <c r="W362" s="39"/>
      <c r="X362" s="24"/>
    </row>
    <row r="363" ht="15.75" customHeight="1">
      <c r="E363" s="24"/>
      <c r="J363" s="24"/>
      <c r="V363" s="39"/>
      <c r="W363" s="39"/>
      <c r="X363" s="24"/>
    </row>
    <row r="364" ht="15.75" customHeight="1">
      <c r="E364" s="24"/>
      <c r="J364" s="24"/>
      <c r="V364" s="39"/>
      <c r="W364" s="39"/>
      <c r="X364" s="24"/>
    </row>
    <row r="365" ht="15.75" customHeight="1">
      <c r="E365" s="24"/>
      <c r="J365" s="24"/>
      <c r="V365" s="39"/>
      <c r="W365" s="39"/>
      <c r="X365" s="24"/>
    </row>
    <row r="366" ht="15.75" customHeight="1">
      <c r="E366" s="24"/>
      <c r="J366" s="24"/>
      <c r="V366" s="39"/>
      <c r="W366" s="39"/>
      <c r="X366" s="24"/>
    </row>
    <row r="367" ht="15.75" customHeight="1">
      <c r="E367" s="24"/>
      <c r="J367" s="24"/>
      <c r="V367" s="39"/>
      <c r="W367" s="39"/>
      <c r="X367" s="24"/>
    </row>
    <row r="368" ht="15.75" customHeight="1">
      <c r="E368" s="24"/>
      <c r="J368" s="24"/>
      <c r="V368" s="39"/>
      <c r="W368" s="39"/>
      <c r="X368" s="24"/>
    </row>
    <row r="369" ht="15.75" customHeight="1">
      <c r="E369" s="24"/>
      <c r="J369" s="24"/>
      <c r="V369" s="39"/>
      <c r="W369" s="39"/>
      <c r="X369" s="24"/>
    </row>
    <row r="370" ht="15.75" customHeight="1">
      <c r="E370" s="24"/>
      <c r="J370" s="24"/>
      <c r="V370" s="39"/>
      <c r="W370" s="39"/>
      <c r="X370" s="24"/>
    </row>
    <row r="371" ht="15.75" customHeight="1">
      <c r="E371" s="24"/>
      <c r="J371" s="24"/>
      <c r="V371" s="39"/>
      <c r="W371" s="39"/>
      <c r="X371" s="24"/>
    </row>
    <row r="372" ht="15.75" customHeight="1">
      <c r="E372" s="24"/>
      <c r="J372" s="24"/>
      <c r="V372" s="39"/>
      <c r="W372" s="39"/>
      <c r="X372" s="24"/>
    </row>
    <row r="373" ht="15.75" customHeight="1">
      <c r="E373" s="24"/>
      <c r="J373" s="24"/>
      <c r="V373" s="39"/>
      <c r="W373" s="39"/>
      <c r="X373" s="24"/>
    </row>
    <row r="374" ht="15.75" customHeight="1">
      <c r="E374" s="24"/>
      <c r="J374" s="24"/>
      <c r="V374" s="39"/>
      <c r="W374" s="39"/>
      <c r="X374" s="24"/>
    </row>
    <row r="375" ht="15.75" customHeight="1">
      <c r="E375" s="24"/>
      <c r="J375" s="24"/>
      <c r="V375" s="39"/>
      <c r="W375" s="39"/>
      <c r="X375" s="24"/>
    </row>
    <row r="376" ht="15.75" customHeight="1">
      <c r="E376" s="24"/>
      <c r="J376" s="24"/>
      <c r="V376" s="39"/>
      <c r="W376" s="39"/>
      <c r="X376" s="24"/>
    </row>
    <row r="377" ht="15.75" customHeight="1">
      <c r="E377" s="24"/>
      <c r="J377" s="24"/>
      <c r="V377" s="39"/>
      <c r="W377" s="39"/>
      <c r="X377" s="24"/>
    </row>
    <row r="378" ht="15.75" customHeight="1">
      <c r="E378" s="24"/>
      <c r="J378" s="24"/>
      <c r="V378" s="39"/>
      <c r="W378" s="39"/>
      <c r="X378" s="24"/>
    </row>
    <row r="379" ht="15.75" customHeight="1">
      <c r="E379" s="24"/>
      <c r="J379" s="24"/>
      <c r="V379" s="39"/>
      <c r="W379" s="39"/>
      <c r="X379" s="24"/>
    </row>
    <row r="380" ht="15.75" customHeight="1">
      <c r="E380" s="24"/>
      <c r="J380" s="24"/>
      <c r="V380" s="39"/>
      <c r="W380" s="39"/>
      <c r="X380" s="24"/>
    </row>
    <row r="381" ht="15.75" customHeight="1">
      <c r="E381" s="24"/>
      <c r="J381" s="24"/>
      <c r="V381" s="39"/>
      <c r="W381" s="39"/>
      <c r="X381" s="24"/>
    </row>
    <row r="382" ht="15.75" customHeight="1">
      <c r="E382" s="24"/>
      <c r="J382" s="24"/>
      <c r="V382" s="39"/>
      <c r="W382" s="39"/>
      <c r="X382" s="24"/>
    </row>
    <row r="383" ht="15.75" customHeight="1">
      <c r="E383" s="24"/>
      <c r="J383" s="24"/>
      <c r="V383" s="39"/>
      <c r="W383" s="39"/>
      <c r="X383" s="24"/>
    </row>
    <row r="384" ht="15.75" customHeight="1">
      <c r="E384" s="24"/>
      <c r="J384" s="24"/>
      <c r="V384" s="39"/>
      <c r="W384" s="39"/>
      <c r="X384" s="24"/>
    </row>
    <row r="385" ht="15.75" customHeight="1">
      <c r="E385" s="24"/>
      <c r="J385" s="24"/>
      <c r="V385" s="39"/>
      <c r="W385" s="39"/>
      <c r="X385" s="24"/>
    </row>
    <row r="386" ht="15.75" customHeight="1">
      <c r="E386" s="24"/>
      <c r="J386" s="24"/>
      <c r="V386" s="39"/>
      <c r="W386" s="39"/>
      <c r="X386" s="24"/>
    </row>
    <row r="387" ht="15.75" customHeight="1">
      <c r="E387" s="24"/>
      <c r="J387" s="24"/>
      <c r="V387" s="39"/>
      <c r="W387" s="39"/>
      <c r="X387" s="24"/>
    </row>
    <row r="388" ht="15.75" customHeight="1">
      <c r="E388" s="24"/>
      <c r="J388" s="24"/>
      <c r="V388" s="39"/>
      <c r="W388" s="39"/>
      <c r="X388" s="24"/>
    </row>
    <row r="389" ht="15.75" customHeight="1">
      <c r="E389" s="24"/>
      <c r="J389" s="24"/>
      <c r="V389" s="39"/>
      <c r="W389" s="39"/>
      <c r="X389" s="24"/>
    </row>
    <row r="390" ht="15.75" customHeight="1">
      <c r="E390" s="24"/>
      <c r="J390" s="24"/>
      <c r="V390" s="39"/>
      <c r="W390" s="39"/>
      <c r="X390" s="24"/>
    </row>
    <row r="391" ht="15.75" customHeight="1">
      <c r="E391" s="24"/>
      <c r="J391" s="24"/>
      <c r="V391" s="39"/>
      <c r="W391" s="39"/>
      <c r="X391" s="24"/>
    </row>
    <row r="392" ht="15.75" customHeight="1">
      <c r="E392" s="24"/>
      <c r="J392" s="24"/>
      <c r="V392" s="39"/>
      <c r="W392" s="39"/>
      <c r="X392" s="24"/>
    </row>
    <row r="393" ht="15.75" customHeight="1">
      <c r="E393" s="24"/>
      <c r="J393" s="24"/>
      <c r="V393" s="39"/>
      <c r="W393" s="39"/>
      <c r="X393" s="24"/>
    </row>
    <row r="394" ht="15.75" customHeight="1">
      <c r="E394" s="24"/>
      <c r="J394" s="24"/>
      <c r="V394" s="39"/>
      <c r="W394" s="39"/>
      <c r="X394" s="24"/>
    </row>
    <row r="395" ht="15.75" customHeight="1">
      <c r="E395" s="24"/>
      <c r="J395" s="24"/>
      <c r="V395" s="39"/>
      <c r="W395" s="39"/>
      <c r="X395" s="24"/>
    </row>
    <row r="396" ht="15.75" customHeight="1">
      <c r="E396" s="24"/>
      <c r="J396" s="24"/>
      <c r="V396" s="39"/>
      <c r="W396" s="39"/>
      <c r="X396" s="24"/>
    </row>
    <row r="397" ht="15.75" customHeight="1">
      <c r="E397" s="24"/>
      <c r="J397" s="24"/>
      <c r="V397" s="39"/>
      <c r="W397" s="39"/>
      <c r="X397" s="24"/>
    </row>
    <row r="398" ht="15.75" customHeight="1">
      <c r="E398" s="24"/>
      <c r="J398" s="24"/>
      <c r="V398" s="39"/>
      <c r="W398" s="39"/>
      <c r="X398" s="24"/>
    </row>
    <row r="399" ht="15.75" customHeight="1">
      <c r="E399" s="24"/>
      <c r="J399" s="24"/>
      <c r="V399" s="39"/>
      <c r="W399" s="39"/>
      <c r="X399" s="24"/>
    </row>
    <row r="400" ht="15.75" customHeight="1">
      <c r="E400" s="24"/>
      <c r="J400" s="24"/>
      <c r="V400" s="39"/>
      <c r="W400" s="39"/>
      <c r="X400" s="24"/>
    </row>
    <row r="401" ht="15.75" customHeight="1">
      <c r="E401" s="24"/>
      <c r="J401" s="24"/>
      <c r="V401" s="39"/>
      <c r="W401" s="39"/>
      <c r="X401" s="24"/>
    </row>
    <row r="402" ht="15.75" customHeight="1">
      <c r="E402" s="24"/>
      <c r="J402" s="24"/>
      <c r="V402" s="39"/>
      <c r="W402" s="39"/>
      <c r="X402" s="24"/>
    </row>
    <row r="403" ht="15.75" customHeight="1">
      <c r="E403" s="24"/>
      <c r="J403" s="24"/>
      <c r="V403" s="39"/>
      <c r="W403" s="39"/>
      <c r="X403" s="24"/>
    </row>
    <row r="404" ht="15.75" customHeight="1">
      <c r="E404" s="24"/>
      <c r="J404" s="24"/>
      <c r="V404" s="39"/>
      <c r="W404" s="39"/>
      <c r="X404" s="24"/>
    </row>
    <row r="405" ht="15.75" customHeight="1">
      <c r="E405" s="24"/>
      <c r="J405" s="24"/>
      <c r="V405" s="39"/>
      <c r="W405" s="39"/>
      <c r="X405" s="24"/>
    </row>
    <row r="406" ht="15.75" customHeight="1">
      <c r="E406" s="24"/>
      <c r="J406" s="24"/>
      <c r="V406" s="39"/>
      <c r="W406" s="39"/>
      <c r="X406" s="24"/>
    </row>
    <row r="407" ht="15.75" customHeight="1">
      <c r="E407" s="24"/>
      <c r="J407" s="24"/>
      <c r="V407" s="39"/>
      <c r="W407" s="39"/>
      <c r="X407" s="24"/>
    </row>
    <row r="408" ht="15.75" customHeight="1">
      <c r="E408" s="24"/>
      <c r="J408" s="24"/>
      <c r="V408" s="39"/>
      <c r="W408" s="39"/>
      <c r="X408" s="24"/>
    </row>
    <row r="409" ht="15.75" customHeight="1">
      <c r="E409" s="24"/>
      <c r="J409" s="24"/>
      <c r="V409" s="39"/>
      <c r="W409" s="39"/>
      <c r="X409" s="24"/>
    </row>
    <row r="410" ht="15.75" customHeight="1">
      <c r="E410" s="24"/>
      <c r="J410" s="24"/>
      <c r="V410" s="39"/>
      <c r="W410" s="39"/>
      <c r="X410" s="24"/>
    </row>
    <row r="411" ht="15.75" customHeight="1">
      <c r="E411" s="24"/>
      <c r="J411" s="24"/>
      <c r="V411" s="39"/>
      <c r="W411" s="39"/>
      <c r="X411" s="24"/>
    </row>
    <row r="412" ht="15.75" customHeight="1">
      <c r="E412" s="24"/>
      <c r="J412" s="24"/>
      <c r="V412" s="39"/>
      <c r="W412" s="39"/>
      <c r="X412" s="24"/>
    </row>
    <row r="413" ht="15.75" customHeight="1">
      <c r="E413" s="24"/>
      <c r="J413" s="24"/>
      <c r="V413" s="39"/>
      <c r="W413" s="39"/>
      <c r="X413" s="24"/>
    </row>
    <row r="414" ht="15.75" customHeight="1">
      <c r="E414" s="24"/>
      <c r="J414" s="24"/>
      <c r="V414" s="39"/>
      <c r="W414" s="39"/>
      <c r="X414" s="24"/>
    </row>
    <row r="415" ht="15.75" customHeight="1">
      <c r="E415" s="24"/>
      <c r="J415" s="24"/>
      <c r="V415" s="39"/>
      <c r="W415" s="39"/>
      <c r="X415" s="24"/>
    </row>
    <row r="416" ht="15.75" customHeight="1">
      <c r="E416" s="24"/>
      <c r="J416" s="24"/>
      <c r="V416" s="39"/>
      <c r="W416" s="39"/>
      <c r="X416" s="24"/>
    </row>
    <row r="417" ht="15.75" customHeight="1">
      <c r="E417" s="24"/>
      <c r="J417" s="24"/>
      <c r="V417" s="39"/>
      <c r="W417" s="39"/>
      <c r="X417" s="24"/>
    </row>
    <row r="418" ht="15.75" customHeight="1">
      <c r="E418" s="24"/>
      <c r="J418" s="24"/>
      <c r="V418" s="39"/>
      <c r="W418" s="39"/>
      <c r="X418" s="24"/>
    </row>
    <row r="419" ht="15.75" customHeight="1">
      <c r="E419" s="24"/>
      <c r="J419" s="24"/>
      <c r="V419" s="39"/>
      <c r="W419" s="39"/>
      <c r="X419" s="24"/>
    </row>
    <row r="420" ht="15.75" customHeight="1">
      <c r="E420" s="24"/>
      <c r="J420" s="24"/>
      <c r="V420" s="39"/>
      <c r="W420" s="39"/>
      <c r="X420" s="24"/>
    </row>
    <row r="421" ht="15.75" customHeight="1">
      <c r="E421" s="24"/>
      <c r="J421" s="24"/>
      <c r="V421" s="39"/>
      <c r="W421" s="39"/>
      <c r="X421" s="24"/>
    </row>
    <row r="422" ht="15.75" customHeight="1">
      <c r="E422" s="24"/>
      <c r="J422" s="24"/>
      <c r="V422" s="39"/>
      <c r="W422" s="39"/>
      <c r="X422" s="24"/>
    </row>
    <row r="423" ht="15.75" customHeight="1">
      <c r="E423" s="24"/>
      <c r="J423" s="24"/>
      <c r="V423" s="39"/>
      <c r="W423" s="39"/>
      <c r="X423" s="24"/>
    </row>
    <row r="424" ht="15.75" customHeight="1">
      <c r="E424" s="24"/>
      <c r="J424" s="24"/>
      <c r="V424" s="39"/>
      <c r="W424" s="39"/>
      <c r="X424" s="24"/>
    </row>
    <row r="425" ht="15.75" customHeight="1">
      <c r="E425" s="24"/>
      <c r="J425" s="24"/>
      <c r="V425" s="39"/>
      <c r="W425" s="39"/>
      <c r="X425" s="24"/>
    </row>
    <row r="426" ht="15.75" customHeight="1">
      <c r="E426" s="24"/>
      <c r="J426" s="24"/>
      <c r="V426" s="39"/>
      <c r="W426" s="39"/>
      <c r="X426" s="24"/>
    </row>
    <row r="427" ht="15.75" customHeight="1">
      <c r="E427" s="24"/>
      <c r="J427" s="24"/>
      <c r="V427" s="39"/>
      <c r="W427" s="39"/>
      <c r="X427" s="24"/>
    </row>
    <row r="428" ht="15.75" customHeight="1">
      <c r="E428" s="24"/>
      <c r="J428" s="24"/>
      <c r="V428" s="39"/>
      <c r="W428" s="39"/>
      <c r="X428" s="24"/>
    </row>
    <row r="429" ht="15.75" customHeight="1">
      <c r="E429" s="24"/>
      <c r="J429" s="24"/>
      <c r="V429" s="39"/>
      <c r="W429" s="39"/>
      <c r="X429" s="24"/>
    </row>
    <row r="430" ht="15.75" customHeight="1">
      <c r="E430" s="24"/>
      <c r="J430" s="24"/>
      <c r="V430" s="39"/>
      <c r="W430" s="39"/>
      <c r="X430" s="24"/>
    </row>
    <row r="431" ht="15.75" customHeight="1">
      <c r="E431" s="24"/>
      <c r="J431" s="24"/>
      <c r="V431" s="39"/>
      <c r="W431" s="39"/>
      <c r="X431" s="24"/>
    </row>
    <row r="432" ht="15.75" customHeight="1">
      <c r="E432" s="24"/>
      <c r="J432" s="24"/>
      <c r="V432" s="39"/>
      <c r="W432" s="39"/>
      <c r="X432" s="24"/>
    </row>
    <row r="433" ht="15.75" customHeight="1">
      <c r="E433" s="24"/>
      <c r="J433" s="24"/>
      <c r="V433" s="39"/>
      <c r="W433" s="39"/>
      <c r="X433" s="24"/>
    </row>
    <row r="434" ht="15.75" customHeight="1">
      <c r="E434" s="24"/>
      <c r="J434" s="24"/>
      <c r="V434" s="39"/>
      <c r="W434" s="39"/>
      <c r="X434" s="24"/>
    </row>
    <row r="435" ht="15.75" customHeight="1">
      <c r="E435" s="24"/>
      <c r="J435" s="24"/>
      <c r="V435" s="39"/>
      <c r="W435" s="39"/>
      <c r="X435" s="24"/>
    </row>
    <row r="436" ht="15.75" customHeight="1">
      <c r="E436" s="24"/>
      <c r="J436" s="24"/>
      <c r="V436" s="39"/>
      <c r="W436" s="39"/>
      <c r="X436" s="24"/>
    </row>
    <row r="437" ht="15.75" customHeight="1">
      <c r="E437" s="24"/>
      <c r="J437" s="24"/>
      <c r="V437" s="39"/>
      <c r="W437" s="39"/>
      <c r="X437" s="24"/>
    </row>
    <row r="438" ht="15.75" customHeight="1">
      <c r="E438" s="24"/>
      <c r="J438" s="24"/>
      <c r="V438" s="39"/>
      <c r="W438" s="39"/>
      <c r="X438" s="24"/>
    </row>
    <row r="439" ht="15.75" customHeight="1">
      <c r="E439" s="24"/>
      <c r="J439" s="24"/>
      <c r="V439" s="39"/>
      <c r="W439" s="39"/>
      <c r="X439" s="24"/>
    </row>
    <row r="440" ht="15.75" customHeight="1">
      <c r="E440" s="24"/>
      <c r="J440" s="24"/>
      <c r="V440" s="39"/>
      <c r="W440" s="39"/>
      <c r="X440" s="24"/>
    </row>
    <row r="441" ht="15.75" customHeight="1">
      <c r="E441" s="24"/>
      <c r="J441" s="24"/>
      <c r="V441" s="39"/>
      <c r="W441" s="39"/>
      <c r="X441" s="24"/>
    </row>
    <row r="442" ht="15.75" customHeight="1">
      <c r="E442" s="24"/>
      <c r="J442" s="24"/>
      <c r="V442" s="39"/>
      <c r="W442" s="39"/>
      <c r="X442" s="24"/>
    </row>
    <row r="443" ht="15.75" customHeight="1">
      <c r="E443" s="24"/>
      <c r="J443" s="24"/>
      <c r="V443" s="39"/>
      <c r="W443" s="39"/>
      <c r="X443" s="24"/>
    </row>
    <row r="444" ht="15.75" customHeight="1">
      <c r="E444" s="24"/>
      <c r="J444" s="24"/>
      <c r="V444" s="39"/>
      <c r="W444" s="39"/>
      <c r="X444" s="24"/>
    </row>
    <row r="445" ht="15.75" customHeight="1">
      <c r="E445" s="24"/>
      <c r="J445" s="24"/>
      <c r="V445" s="39"/>
      <c r="W445" s="39"/>
      <c r="X445" s="24"/>
    </row>
    <row r="446" ht="15.75" customHeight="1">
      <c r="E446" s="24"/>
      <c r="J446" s="24"/>
      <c r="V446" s="39"/>
      <c r="W446" s="39"/>
      <c r="X446" s="24"/>
    </row>
    <row r="447" ht="15.75" customHeight="1">
      <c r="E447" s="24"/>
      <c r="J447" s="24"/>
      <c r="V447" s="39"/>
      <c r="W447" s="39"/>
      <c r="X447" s="24"/>
    </row>
    <row r="448" ht="15.75" customHeight="1">
      <c r="E448" s="24"/>
      <c r="J448" s="24"/>
      <c r="V448" s="39"/>
      <c r="W448" s="39"/>
      <c r="X448" s="24"/>
    </row>
    <row r="449" ht="15.75" customHeight="1">
      <c r="E449" s="24"/>
      <c r="J449" s="24"/>
      <c r="V449" s="39"/>
      <c r="W449" s="39"/>
      <c r="X449" s="24"/>
    </row>
    <row r="450" ht="15.75" customHeight="1">
      <c r="E450" s="24"/>
      <c r="J450" s="24"/>
      <c r="V450" s="39"/>
      <c r="W450" s="39"/>
      <c r="X450" s="24"/>
    </row>
    <row r="451" ht="15.75" customHeight="1">
      <c r="E451" s="24"/>
      <c r="J451" s="24"/>
      <c r="V451" s="39"/>
      <c r="W451" s="39"/>
      <c r="X451" s="24"/>
    </row>
    <row r="452" ht="15.75" customHeight="1">
      <c r="E452" s="24"/>
      <c r="J452" s="24"/>
      <c r="V452" s="39"/>
      <c r="W452" s="39"/>
      <c r="X452" s="24"/>
    </row>
    <row r="453" ht="15.75" customHeight="1">
      <c r="E453" s="24"/>
      <c r="J453" s="24"/>
      <c r="V453" s="39"/>
      <c r="W453" s="39"/>
      <c r="X453" s="24"/>
    </row>
    <row r="454" ht="15.75" customHeight="1">
      <c r="E454" s="24"/>
      <c r="J454" s="24"/>
      <c r="V454" s="39"/>
      <c r="W454" s="39"/>
      <c r="X454" s="24"/>
    </row>
    <row r="455" ht="15.75" customHeight="1">
      <c r="E455" s="24"/>
      <c r="J455" s="24"/>
      <c r="V455" s="39"/>
      <c r="W455" s="39"/>
      <c r="X455" s="24"/>
    </row>
    <row r="456" ht="15.75" customHeight="1">
      <c r="E456" s="24"/>
      <c r="J456" s="24"/>
      <c r="V456" s="39"/>
      <c r="W456" s="39"/>
      <c r="X456" s="24"/>
    </row>
    <row r="457" ht="15.75" customHeight="1">
      <c r="E457" s="24"/>
      <c r="J457" s="24"/>
      <c r="V457" s="39"/>
      <c r="W457" s="39"/>
      <c r="X457" s="24"/>
    </row>
    <row r="458" ht="15.75" customHeight="1">
      <c r="E458" s="24"/>
      <c r="J458" s="24"/>
      <c r="V458" s="39"/>
      <c r="W458" s="39"/>
      <c r="X458" s="24"/>
    </row>
    <row r="459" ht="15.75" customHeight="1">
      <c r="E459" s="24"/>
      <c r="J459" s="24"/>
      <c r="V459" s="39"/>
      <c r="W459" s="39"/>
      <c r="X459" s="24"/>
    </row>
    <row r="460" ht="15.75" customHeight="1">
      <c r="E460" s="24"/>
      <c r="J460" s="24"/>
      <c r="V460" s="39"/>
      <c r="W460" s="39"/>
      <c r="X460" s="24"/>
    </row>
    <row r="461" ht="15.75" customHeight="1">
      <c r="E461" s="24"/>
      <c r="J461" s="24"/>
      <c r="V461" s="39"/>
      <c r="W461" s="39"/>
      <c r="X461" s="24"/>
    </row>
    <row r="462" ht="15.75" customHeight="1">
      <c r="E462" s="24"/>
      <c r="J462" s="24"/>
      <c r="V462" s="39"/>
      <c r="W462" s="39"/>
      <c r="X462" s="24"/>
    </row>
    <row r="463" ht="15.75" customHeight="1">
      <c r="E463" s="24"/>
      <c r="J463" s="24"/>
      <c r="V463" s="39"/>
      <c r="W463" s="39"/>
      <c r="X463" s="24"/>
    </row>
    <row r="464" ht="15.75" customHeight="1">
      <c r="E464" s="24"/>
      <c r="J464" s="24"/>
      <c r="V464" s="39"/>
      <c r="W464" s="39"/>
      <c r="X464" s="24"/>
    </row>
    <row r="465" ht="15.75" customHeight="1">
      <c r="E465" s="24"/>
      <c r="J465" s="24"/>
      <c r="V465" s="39"/>
      <c r="W465" s="39"/>
      <c r="X465" s="24"/>
    </row>
    <row r="466" ht="15.75" customHeight="1">
      <c r="E466" s="24"/>
      <c r="J466" s="24"/>
      <c r="V466" s="39"/>
      <c r="W466" s="39"/>
      <c r="X466" s="24"/>
    </row>
    <row r="467" ht="15.75" customHeight="1">
      <c r="E467" s="24"/>
      <c r="J467" s="24"/>
      <c r="V467" s="39"/>
      <c r="W467" s="39"/>
      <c r="X467" s="24"/>
    </row>
    <row r="468" ht="15.75" customHeight="1">
      <c r="E468" s="24"/>
      <c r="J468" s="24"/>
      <c r="V468" s="39"/>
      <c r="W468" s="39"/>
      <c r="X468" s="24"/>
    </row>
    <row r="469" ht="15.75" customHeight="1">
      <c r="E469" s="24"/>
      <c r="J469" s="24"/>
      <c r="V469" s="39"/>
      <c r="W469" s="39"/>
      <c r="X469" s="24"/>
    </row>
    <row r="470" ht="15.75" customHeight="1">
      <c r="E470" s="24"/>
      <c r="J470" s="24"/>
      <c r="V470" s="39"/>
      <c r="W470" s="39"/>
      <c r="X470" s="24"/>
    </row>
    <row r="471" ht="15.75" customHeight="1">
      <c r="E471" s="24"/>
      <c r="J471" s="24"/>
      <c r="V471" s="39"/>
      <c r="W471" s="39"/>
      <c r="X471" s="24"/>
    </row>
    <row r="472" ht="15.75" customHeight="1">
      <c r="E472" s="24"/>
      <c r="J472" s="24"/>
      <c r="V472" s="39"/>
      <c r="W472" s="39"/>
      <c r="X472" s="24"/>
    </row>
    <row r="473" ht="15.75" customHeight="1">
      <c r="E473" s="24"/>
      <c r="J473" s="24"/>
      <c r="V473" s="39"/>
      <c r="W473" s="39"/>
      <c r="X473" s="24"/>
    </row>
    <row r="474" ht="15.75" customHeight="1">
      <c r="E474" s="24"/>
      <c r="J474" s="24"/>
      <c r="V474" s="39"/>
      <c r="W474" s="39"/>
      <c r="X474" s="24"/>
    </row>
    <row r="475" ht="15.75" customHeight="1">
      <c r="E475" s="24"/>
      <c r="J475" s="24"/>
      <c r="V475" s="39"/>
      <c r="W475" s="39"/>
      <c r="X475" s="24"/>
    </row>
    <row r="476" ht="15.75" customHeight="1">
      <c r="E476" s="24"/>
      <c r="J476" s="24"/>
      <c r="V476" s="39"/>
      <c r="W476" s="39"/>
      <c r="X476" s="24"/>
    </row>
    <row r="477" ht="15.75" customHeight="1">
      <c r="E477" s="24"/>
      <c r="J477" s="24"/>
      <c r="V477" s="39"/>
      <c r="W477" s="39"/>
      <c r="X477" s="24"/>
    </row>
    <row r="478" ht="15.75" customHeight="1">
      <c r="E478" s="24"/>
      <c r="J478" s="24"/>
      <c r="V478" s="39"/>
      <c r="W478" s="39"/>
      <c r="X478" s="24"/>
    </row>
    <row r="479" ht="15.75" customHeight="1">
      <c r="E479" s="24"/>
      <c r="J479" s="24"/>
      <c r="V479" s="39"/>
      <c r="W479" s="39"/>
      <c r="X479" s="24"/>
    </row>
    <row r="480" ht="15.75" customHeight="1">
      <c r="E480" s="24"/>
      <c r="J480" s="24"/>
      <c r="V480" s="39"/>
      <c r="W480" s="39"/>
      <c r="X480" s="24"/>
    </row>
    <row r="481" ht="15.75" customHeight="1">
      <c r="E481" s="24"/>
      <c r="J481" s="24"/>
      <c r="V481" s="39"/>
      <c r="W481" s="39"/>
      <c r="X481" s="24"/>
    </row>
    <row r="482" ht="15.75" customHeight="1">
      <c r="E482" s="24"/>
      <c r="J482" s="24"/>
      <c r="V482" s="39"/>
      <c r="W482" s="39"/>
      <c r="X482" s="24"/>
    </row>
    <row r="483" ht="15.75" customHeight="1">
      <c r="E483" s="24"/>
      <c r="J483" s="24"/>
      <c r="V483" s="39"/>
      <c r="W483" s="39"/>
      <c r="X483" s="24"/>
    </row>
    <row r="484" ht="15.75" customHeight="1">
      <c r="E484" s="24"/>
      <c r="J484" s="24"/>
      <c r="V484" s="39"/>
      <c r="W484" s="39"/>
      <c r="X484" s="24"/>
    </row>
    <row r="485" ht="15.75" customHeight="1">
      <c r="E485" s="24"/>
      <c r="J485" s="24"/>
      <c r="V485" s="39"/>
      <c r="W485" s="39"/>
      <c r="X485" s="24"/>
    </row>
    <row r="486" ht="15.75" customHeight="1">
      <c r="E486" s="24"/>
      <c r="J486" s="24"/>
      <c r="V486" s="39"/>
      <c r="W486" s="39"/>
      <c r="X486" s="24"/>
    </row>
    <row r="487" ht="15.75" customHeight="1">
      <c r="E487" s="24"/>
      <c r="J487" s="24"/>
      <c r="V487" s="39"/>
      <c r="W487" s="39"/>
      <c r="X487" s="24"/>
    </row>
    <row r="488" ht="15.75" customHeight="1">
      <c r="E488" s="24"/>
      <c r="J488" s="24"/>
      <c r="V488" s="39"/>
      <c r="W488" s="39"/>
      <c r="X488" s="24"/>
    </row>
    <row r="489" ht="15.75" customHeight="1">
      <c r="E489" s="24"/>
      <c r="J489" s="24"/>
      <c r="V489" s="39"/>
      <c r="W489" s="39"/>
      <c r="X489" s="24"/>
    </row>
    <row r="490" ht="15.75" customHeight="1">
      <c r="E490" s="24"/>
      <c r="J490" s="24"/>
      <c r="V490" s="39"/>
      <c r="W490" s="39"/>
      <c r="X490" s="24"/>
    </row>
    <row r="491" ht="15.75" customHeight="1">
      <c r="E491" s="24"/>
      <c r="J491" s="24"/>
      <c r="V491" s="39"/>
      <c r="W491" s="39"/>
      <c r="X491" s="24"/>
    </row>
    <row r="492" ht="15.75" customHeight="1">
      <c r="E492" s="24"/>
      <c r="J492" s="24"/>
      <c r="V492" s="39"/>
      <c r="W492" s="39"/>
      <c r="X492" s="24"/>
    </row>
    <row r="493" ht="15.75" customHeight="1">
      <c r="E493" s="24"/>
      <c r="J493" s="24"/>
      <c r="V493" s="39"/>
      <c r="W493" s="39"/>
      <c r="X493" s="24"/>
    </row>
    <row r="494" ht="15.75" customHeight="1">
      <c r="E494" s="24"/>
      <c r="J494" s="24"/>
      <c r="V494" s="39"/>
      <c r="W494" s="39"/>
      <c r="X494" s="24"/>
    </row>
    <row r="495" ht="15.75" customHeight="1">
      <c r="E495" s="24"/>
      <c r="J495" s="24"/>
      <c r="V495" s="39"/>
      <c r="W495" s="39"/>
      <c r="X495" s="24"/>
    </row>
    <row r="496" ht="15.75" customHeight="1">
      <c r="E496" s="24"/>
      <c r="J496" s="24"/>
      <c r="V496" s="39"/>
      <c r="W496" s="39"/>
      <c r="X496" s="24"/>
    </row>
    <row r="497" ht="15.75" customHeight="1">
      <c r="E497" s="24"/>
      <c r="J497" s="24"/>
      <c r="V497" s="39"/>
      <c r="W497" s="39"/>
      <c r="X497" s="24"/>
    </row>
    <row r="498" ht="15.75" customHeight="1">
      <c r="E498" s="24"/>
      <c r="J498" s="24"/>
      <c r="V498" s="39"/>
      <c r="W498" s="39"/>
      <c r="X498" s="24"/>
    </row>
    <row r="499" ht="15.75" customHeight="1">
      <c r="E499" s="24"/>
      <c r="J499" s="24"/>
      <c r="V499" s="39"/>
      <c r="W499" s="39"/>
      <c r="X499" s="24"/>
    </row>
    <row r="500" ht="15.75" customHeight="1">
      <c r="E500" s="24"/>
      <c r="J500" s="24"/>
      <c r="V500" s="39"/>
      <c r="W500" s="39"/>
      <c r="X500" s="24"/>
    </row>
    <row r="501" ht="15.75" customHeight="1">
      <c r="E501" s="24"/>
      <c r="J501" s="24"/>
      <c r="V501" s="39"/>
      <c r="W501" s="39"/>
      <c r="X501" s="24"/>
    </row>
    <row r="502" ht="15.75" customHeight="1">
      <c r="E502" s="24"/>
      <c r="J502" s="24"/>
      <c r="V502" s="39"/>
      <c r="W502" s="39"/>
      <c r="X502" s="24"/>
    </row>
    <row r="503" ht="15.75" customHeight="1">
      <c r="E503" s="24"/>
      <c r="J503" s="24"/>
      <c r="V503" s="39"/>
      <c r="W503" s="39"/>
      <c r="X503" s="24"/>
    </row>
    <row r="504" ht="15.75" customHeight="1">
      <c r="E504" s="24"/>
      <c r="J504" s="24"/>
      <c r="V504" s="39"/>
      <c r="W504" s="39"/>
      <c r="X504" s="24"/>
    </row>
    <row r="505" ht="15.75" customHeight="1">
      <c r="E505" s="24"/>
      <c r="J505" s="24"/>
      <c r="V505" s="39"/>
      <c r="W505" s="39"/>
      <c r="X505" s="24"/>
    </row>
    <row r="506" ht="15.75" customHeight="1">
      <c r="E506" s="24"/>
      <c r="J506" s="24"/>
      <c r="V506" s="39"/>
      <c r="W506" s="39"/>
      <c r="X506" s="24"/>
    </row>
    <row r="507" ht="15.75" customHeight="1">
      <c r="E507" s="24"/>
      <c r="J507" s="24"/>
      <c r="V507" s="39"/>
      <c r="W507" s="39"/>
      <c r="X507" s="24"/>
    </row>
    <row r="508" ht="15.75" customHeight="1">
      <c r="E508" s="24"/>
      <c r="J508" s="24"/>
      <c r="V508" s="39"/>
      <c r="W508" s="39"/>
      <c r="X508" s="24"/>
    </row>
    <row r="509" ht="15.75" customHeight="1">
      <c r="E509" s="24"/>
      <c r="J509" s="24"/>
      <c r="V509" s="39"/>
      <c r="W509" s="39"/>
      <c r="X509" s="24"/>
    </row>
    <row r="510" ht="15.75" customHeight="1">
      <c r="E510" s="24"/>
      <c r="J510" s="24"/>
      <c r="V510" s="39"/>
      <c r="W510" s="39"/>
      <c r="X510" s="24"/>
    </row>
    <row r="511" ht="15.75" customHeight="1">
      <c r="E511" s="24"/>
      <c r="J511" s="24"/>
      <c r="V511" s="39"/>
      <c r="W511" s="39"/>
      <c r="X511" s="24"/>
    </row>
    <row r="512" ht="15.75" customHeight="1">
      <c r="E512" s="24"/>
      <c r="J512" s="24"/>
      <c r="V512" s="39"/>
      <c r="W512" s="39"/>
      <c r="X512" s="24"/>
    </row>
    <row r="513" ht="15.75" customHeight="1">
      <c r="E513" s="24"/>
      <c r="J513" s="24"/>
      <c r="V513" s="39"/>
      <c r="W513" s="39"/>
      <c r="X513" s="24"/>
    </row>
    <row r="514" ht="15.75" customHeight="1">
      <c r="E514" s="24"/>
      <c r="J514" s="24"/>
      <c r="V514" s="39"/>
      <c r="W514" s="39"/>
      <c r="X514" s="24"/>
    </row>
    <row r="515" ht="15.75" customHeight="1">
      <c r="E515" s="24"/>
      <c r="J515" s="24"/>
      <c r="V515" s="39"/>
      <c r="W515" s="39"/>
      <c r="X515" s="24"/>
    </row>
    <row r="516" ht="15.75" customHeight="1">
      <c r="E516" s="24"/>
      <c r="J516" s="24"/>
      <c r="V516" s="39"/>
      <c r="W516" s="39"/>
      <c r="X516" s="24"/>
    </row>
    <row r="517" ht="15.75" customHeight="1">
      <c r="E517" s="24"/>
      <c r="J517" s="24"/>
      <c r="V517" s="39"/>
      <c r="W517" s="39"/>
      <c r="X517" s="24"/>
    </row>
    <row r="518" ht="15.75" customHeight="1">
      <c r="E518" s="24"/>
      <c r="J518" s="24"/>
      <c r="V518" s="39"/>
      <c r="W518" s="39"/>
      <c r="X518" s="24"/>
    </row>
    <row r="519" ht="15.75" customHeight="1">
      <c r="E519" s="24"/>
      <c r="J519" s="24"/>
      <c r="V519" s="39"/>
      <c r="W519" s="39"/>
      <c r="X519" s="24"/>
    </row>
    <row r="520" ht="15.75" customHeight="1">
      <c r="E520" s="24"/>
      <c r="J520" s="24"/>
      <c r="V520" s="39"/>
      <c r="W520" s="39"/>
      <c r="X520" s="24"/>
    </row>
    <row r="521" ht="15.75" customHeight="1">
      <c r="E521" s="24"/>
      <c r="J521" s="24"/>
      <c r="V521" s="39"/>
      <c r="W521" s="39"/>
      <c r="X521" s="24"/>
    </row>
    <row r="522" ht="15.75" customHeight="1">
      <c r="E522" s="24"/>
      <c r="J522" s="24"/>
      <c r="V522" s="39"/>
      <c r="W522" s="39"/>
      <c r="X522" s="24"/>
    </row>
    <row r="523" ht="15.75" customHeight="1">
      <c r="E523" s="24"/>
      <c r="J523" s="24"/>
      <c r="V523" s="39"/>
      <c r="W523" s="39"/>
      <c r="X523" s="24"/>
    </row>
    <row r="524" ht="15.75" customHeight="1">
      <c r="E524" s="24"/>
      <c r="J524" s="24"/>
      <c r="V524" s="39"/>
      <c r="W524" s="39"/>
      <c r="X524" s="24"/>
    </row>
    <row r="525" ht="15.75" customHeight="1">
      <c r="E525" s="24"/>
      <c r="J525" s="24"/>
      <c r="V525" s="39"/>
      <c r="W525" s="39"/>
      <c r="X525" s="24"/>
    </row>
    <row r="526" ht="15.75" customHeight="1">
      <c r="E526" s="24"/>
      <c r="J526" s="24"/>
      <c r="V526" s="39"/>
      <c r="W526" s="39"/>
      <c r="X526" s="24"/>
    </row>
    <row r="527" ht="15.75" customHeight="1">
      <c r="E527" s="24"/>
      <c r="J527" s="24"/>
      <c r="V527" s="39"/>
      <c r="W527" s="39"/>
      <c r="X527" s="24"/>
    </row>
    <row r="528" ht="15.75" customHeight="1">
      <c r="E528" s="24"/>
      <c r="J528" s="24"/>
      <c r="V528" s="39"/>
      <c r="W528" s="39"/>
      <c r="X528" s="24"/>
    </row>
    <row r="529" ht="15.75" customHeight="1">
      <c r="E529" s="24"/>
      <c r="J529" s="24"/>
      <c r="V529" s="39"/>
      <c r="W529" s="39"/>
      <c r="X529" s="24"/>
    </row>
    <row r="530" ht="15.75" customHeight="1">
      <c r="E530" s="24"/>
      <c r="J530" s="24"/>
      <c r="V530" s="39"/>
      <c r="W530" s="39"/>
      <c r="X530" s="24"/>
    </row>
    <row r="531" ht="15.75" customHeight="1">
      <c r="E531" s="24"/>
      <c r="J531" s="24"/>
      <c r="V531" s="39"/>
      <c r="W531" s="39"/>
      <c r="X531" s="24"/>
    </row>
    <row r="532" ht="15.75" customHeight="1">
      <c r="E532" s="24"/>
      <c r="J532" s="24"/>
      <c r="V532" s="39"/>
      <c r="W532" s="39"/>
      <c r="X532" s="24"/>
    </row>
    <row r="533" ht="15.75" customHeight="1">
      <c r="E533" s="24"/>
      <c r="J533" s="24"/>
      <c r="V533" s="39"/>
      <c r="W533" s="39"/>
      <c r="X533" s="24"/>
    </row>
    <row r="534" ht="15.75" customHeight="1">
      <c r="E534" s="24"/>
      <c r="J534" s="24"/>
      <c r="V534" s="39"/>
      <c r="W534" s="39"/>
      <c r="X534" s="24"/>
    </row>
    <row r="535" ht="15.75" customHeight="1">
      <c r="E535" s="24"/>
      <c r="J535" s="24"/>
      <c r="V535" s="39"/>
      <c r="W535" s="39"/>
      <c r="X535" s="24"/>
    </row>
    <row r="536" ht="15.75" customHeight="1">
      <c r="E536" s="24"/>
      <c r="J536" s="24"/>
      <c r="V536" s="39"/>
      <c r="W536" s="39"/>
      <c r="X536" s="24"/>
    </row>
    <row r="537" ht="15.75" customHeight="1">
      <c r="E537" s="24"/>
      <c r="J537" s="24"/>
      <c r="V537" s="39"/>
      <c r="W537" s="39"/>
      <c r="X537" s="24"/>
    </row>
    <row r="538" ht="15.75" customHeight="1">
      <c r="E538" s="24"/>
      <c r="J538" s="24"/>
      <c r="V538" s="39"/>
      <c r="W538" s="39"/>
      <c r="X538" s="24"/>
    </row>
    <row r="539" ht="15.75" customHeight="1">
      <c r="E539" s="24"/>
      <c r="J539" s="24"/>
      <c r="V539" s="39"/>
      <c r="W539" s="39"/>
      <c r="X539" s="24"/>
    </row>
    <row r="540" ht="15.75" customHeight="1">
      <c r="E540" s="24"/>
      <c r="J540" s="24"/>
      <c r="V540" s="39"/>
      <c r="W540" s="39"/>
      <c r="X540" s="24"/>
    </row>
    <row r="541" ht="15.75" customHeight="1">
      <c r="E541" s="24"/>
      <c r="J541" s="24"/>
      <c r="V541" s="39"/>
      <c r="W541" s="39"/>
      <c r="X541" s="24"/>
    </row>
    <row r="542" ht="15.75" customHeight="1">
      <c r="E542" s="24"/>
      <c r="J542" s="24"/>
      <c r="V542" s="39"/>
      <c r="W542" s="39"/>
      <c r="X542" s="24"/>
    </row>
    <row r="543" ht="15.75" customHeight="1">
      <c r="E543" s="24"/>
      <c r="J543" s="24"/>
      <c r="V543" s="39"/>
      <c r="W543" s="39"/>
      <c r="X543" s="24"/>
    </row>
    <row r="544" ht="15.75" customHeight="1">
      <c r="E544" s="24"/>
      <c r="J544" s="24"/>
      <c r="V544" s="39"/>
      <c r="W544" s="39"/>
      <c r="X544" s="24"/>
    </row>
    <row r="545" ht="15.75" customHeight="1">
      <c r="E545" s="24"/>
      <c r="J545" s="24"/>
      <c r="V545" s="39"/>
      <c r="W545" s="39"/>
      <c r="X545" s="24"/>
    </row>
    <row r="546" ht="15.75" customHeight="1">
      <c r="E546" s="24"/>
      <c r="J546" s="24"/>
      <c r="V546" s="39"/>
      <c r="W546" s="39"/>
      <c r="X546" s="24"/>
    </row>
    <row r="547" ht="15.75" customHeight="1">
      <c r="E547" s="24"/>
      <c r="J547" s="24"/>
      <c r="V547" s="39"/>
      <c r="W547" s="39"/>
      <c r="X547" s="24"/>
    </row>
    <row r="548" ht="15.75" customHeight="1">
      <c r="E548" s="24"/>
      <c r="J548" s="24"/>
      <c r="V548" s="39"/>
      <c r="W548" s="39"/>
      <c r="X548" s="24"/>
    </row>
    <row r="549" ht="15.75" customHeight="1">
      <c r="E549" s="24"/>
      <c r="J549" s="24"/>
      <c r="V549" s="39"/>
      <c r="W549" s="39"/>
      <c r="X549" s="24"/>
    </row>
    <row r="550" ht="15.75" customHeight="1">
      <c r="E550" s="24"/>
      <c r="J550" s="24"/>
      <c r="V550" s="39"/>
      <c r="W550" s="39"/>
      <c r="X550" s="24"/>
    </row>
    <row r="551" ht="15.75" customHeight="1">
      <c r="E551" s="24"/>
      <c r="J551" s="24"/>
      <c r="V551" s="39"/>
      <c r="W551" s="39"/>
      <c r="X551" s="24"/>
    </row>
    <row r="552" ht="15.75" customHeight="1">
      <c r="E552" s="24"/>
      <c r="J552" s="24"/>
      <c r="V552" s="39"/>
      <c r="W552" s="39"/>
      <c r="X552" s="24"/>
    </row>
    <row r="553" ht="15.75" customHeight="1">
      <c r="E553" s="24"/>
      <c r="J553" s="24"/>
      <c r="V553" s="39"/>
      <c r="W553" s="39"/>
      <c r="X553" s="24"/>
    </row>
    <row r="554" ht="15.75" customHeight="1">
      <c r="E554" s="24"/>
      <c r="J554" s="24"/>
      <c r="V554" s="39"/>
      <c r="W554" s="39"/>
      <c r="X554" s="24"/>
    </row>
    <row r="555" ht="15.75" customHeight="1">
      <c r="E555" s="24"/>
      <c r="J555" s="24"/>
      <c r="V555" s="39"/>
      <c r="W555" s="39"/>
      <c r="X555" s="24"/>
    </row>
    <row r="556" ht="15.75" customHeight="1">
      <c r="E556" s="24"/>
      <c r="J556" s="24"/>
      <c r="V556" s="39"/>
      <c r="W556" s="39"/>
      <c r="X556" s="24"/>
    </row>
    <row r="557" ht="15.75" customHeight="1">
      <c r="E557" s="24"/>
      <c r="J557" s="24"/>
      <c r="V557" s="39"/>
      <c r="W557" s="39"/>
      <c r="X557" s="24"/>
    </row>
    <row r="558" ht="15.75" customHeight="1">
      <c r="E558" s="24"/>
      <c r="J558" s="24"/>
      <c r="V558" s="39"/>
      <c r="W558" s="39"/>
      <c r="X558" s="24"/>
    </row>
    <row r="559" ht="15.75" customHeight="1">
      <c r="E559" s="24"/>
      <c r="J559" s="24"/>
      <c r="V559" s="39"/>
      <c r="W559" s="39"/>
      <c r="X559" s="24"/>
    </row>
    <row r="560" ht="15.75" customHeight="1">
      <c r="E560" s="24"/>
      <c r="J560" s="24"/>
      <c r="V560" s="39"/>
      <c r="W560" s="39"/>
      <c r="X560" s="24"/>
    </row>
    <row r="561" ht="15.75" customHeight="1">
      <c r="E561" s="24"/>
      <c r="J561" s="24"/>
      <c r="V561" s="39"/>
      <c r="W561" s="39"/>
      <c r="X561" s="24"/>
    </row>
    <row r="562" ht="15.75" customHeight="1">
      <c r="E562" s="24"/>
      <c r="J562" s="24"/>
      <c r="V562" s="39"/>
      <c r="W562" s="39"/>
      <c r="X562" s="24"/>
    </row>
    <row r="563" ht="15.75" customHeight="1">
      <c r="E563" s="24"/>
      <c r="J563" s="24"/>
      <c r="V563" s="39"/>
      <c r="W563" s="39"/>
      <c r="X563" s="24"/>
    </row>
    <row r="564" ht="15.75" customHeight="1">
      <c r="E564" s="24"/>
      <c r="J564" s="24"/>
      <c r="V564" s="39"/>
      <c r="W564" s="39"/>
      <c r="X564" s="24"/>
    </row>
    <row r="565" ht="15.75" customHeight="1">
      <c r="E565" s="24"/>
      <c r="J565" s="24"/>
      <c r="V565" s="39"/>
      <c r="W565" s="39"/>
      <c r="X565" s="24"/>
    </row>
    <row r="566" ht="15.75" customHeight="1">
      <c r="E566" s="24"/>
      <c r="J566" s="24"/>
      <c r="V566" s="39"/>
      <c r="W566" s="39"/>
      <c r="X566" s="24"/>
    </row>
    <row r="567" ht="15.75" customHeight="1">
      <c r="E567" s="24"/>
      <c r="J567" s="24"/>
      <c r="V567" s="39"/>
      <c r="W567" s="39"/>
      <c r="X567" s="24"/>
    </row>
    <row r="568" ht="15.75" customHeight="1">
      <c r="E568" s="24"/>
      <c r="J568" s="24"/>
      <c r="V568" s="39"/>
      <c r="W568" s="39"/>
      <c r="X568" s="24"/>
    </row>
    <row r="569" ht="15.75" customHeight="1">
      <c r="E569" s="24"/>
      <c r="J569" s="24"/>
      <c r="V569" s="39"/>
      <c r="W569" s="39"/>
      <c r="X569" s="24"/>
    </row>
    <row r="570" ht="15.75" customHeight="1">
      <c r="E570" s="24"/>
      <c r="J570" s="24"/>
      <c r="V570" s="39"/>
      <c r="W570" s="39"/>
      <c r="X570" s="24"/>
    </row>
    <row r="571" ht="15.75" customHeight="1">
      <c r="E571" s="24"/>
      <c r="J571" s="24"/>
      <c r="V571" s="39"/>
      <c r="W571" s="39"/>
      <c r="X571" s="24"/>
    </row>
    <row r="572" ht="15.75" customHeight="1">
      <c r="E572" s="24"/>
      <c r="J572" s="24"/>
      <c r="V572" s="39"/>
      <c r="W572" s="39"/>
      <c r="X572" s="24"/>
    </row>
    <row r="573" ht="15.75" customHeight="1">
      <c r="E573" s="24"/>
      <c r="J573" s="24"/>
      <c r="V573" s="39"/>
      <c r="W573" s="39"/>
      <c r="X573" s="24"/>
    </row>
    <row r="574" ht="15.75" customHeight="1">
      <c r="E574" s="24"/>
      <c r="J574" s="24"/>
      <c r="V574" s="39"/>
      <c r="W574" s="39"/>
      <c r="X574" s="24"/>
    </row>
    <row r="575" ht="15.75" customHeight="1">
      <c r="E575" s="24"/>
      <c r="J575" s="24"/>
      <c r="V575" s="39"/>
      <c r="W575" s="39"/>
      <c r="X575" s="24"/>
    </row>
    <row r="576" ht="15.75" customHeight="1">
      <c r="E576" s="24"/>
      <c r="J576" s="24"/>
      <c r="V576" s="39"/>
      <c r="W576" s="39"/>
      <c r="X576" s="24"/>
    </row>
    <row r="577" ht="15.75" customHeight="1">
      <c r="E577" s="24"/>
      <c r="J577" s="24"/>
      <c r="V577" s="39"/>
      <c r="W577" s="39"/>
      <c r="X577" s="24"/>
    </row>
    <row r="578" ht="15.75" customHeight="1">
      <c r="E578" s="24"/>
      <c r="J578" s="24"/>
      <c r="V578" s="39"/>
      <c r="W578" s="39"/>
      <c r="X578" s="24"/>
    </row>
    <row r="579" ht="15.75" customHeight="1">
      <c r="E579" s="24"/>
      <c r="J579" s="24"/>
      <c r="V579" s="39"/>
      <c r="W579" s="39"/>
      <c r="X579" s="24"/>
    </row>
    <row r="580" ht="15.75" customHeight="1">
      <c r="E580" s="24"/>
      <c r="J580" s="24"/>
      <c r="V580" s="39"/>
      <c r="W580" s="39"/>
      <c r="X580" s="24"/>
    </row>
    <row r="581" ht="15.75" customHeight="1">
      <c r="E581" s="24"/>
      <c r="J581" s="24"/>
      <c r="V581" s="39"/>
      <c r="W581" s="39"/>
      <c r="X581" s="24"/>
    </row>
    <row r="582" ht="15.75" customHeight="1">
      <c r="E582" s="24"/>
      <c r="J582" s="24"/>
      <c r="V582" s="39"/>
      <c r="W582" s="39"/>
      <c r="X582" s="24"/>
    </row>
    <row r="583" ht="15.75" customHeight="1">
      <c r="E583" s="24"/>
      <c r="J583" s="24"/>
      <c r="V583" s="39"/>
      <c r="W583" s="39"/>
      <c r="X583" s="24"/>
    </row>
    <row r="584" ht="15.75" customHeight="1">
      <c r="E584" s="24"/>
      <c r="J584" s="24"/>
      <c r="V584" s="39"/>
      <c r="W584" s="39"/>
      <c r="X584" s="24"/>
    </row>
    <row r="585" ht="15.75" customHeight="1">
      <c r="E585" s="24"/>
      <c r="J585" s="24"/>
      <c r="V585" s="39"/>
      <c r="W585" s="39"/>
      <c r="X585" s="24"/>
    </row>
    <row r="586" ht="15.75" customHeight="1">
      <c r="E586" s="24"/>
      <c r="J586" s="24"/>
      <c r="V586" s="39"/>
      <c r="W586" s="39"/>
      <c r="X586" s="24"/>
    </row>
    <row r="587" ht="15.75" customHeight="1">
      <c r="E587" s="24"/>
      <c r="J587" s="24"/>
      <c r="V587" s="39"/>
      <c r="W587" s="39"/>
      <c r="X587" s="24"/>
    </row>
    <row r="588" ht="15.75" customHeight="1">
      <c r="E588" s="24"/>
      <c r="J588" s="24"/>
      <c r="V588" s="39"/>
      <c r="W588" s="39"/>
      <c r="X588" s="24"/>
    </row>
    <row r="589" ht="15.75" customHeight="1">
      <c r="E589" s="24"/>
      <c r="J589" s="24"/>
      <c r="V589" s="39"/>
      <c r="W589" s="39"/>
      <c r="X589" s="24"/>
    </row>
    <row r="590" ht="15.75" customHeight="1">
      <c r="E590" s="24"/>
      <c r="J590" s="24"/>
      <c r="V590" s="39"/>
      <c r="W590" s="39"/>
      <c r="X590" s="24"/>
    </row>
    <row r="591" ht="15.75" customHeight="1">
      <c r="E591" s="24"/>
      <c r="J591" s="24"/>
      <c r="V591" s="39"/>
      <c r="W591" s="39"/>
      <c r="X591" s="24"/>
    </row>
    <row r="592" ht="15.75" customHeight="1">
      <c r="E592" s="24"/>
      <c r="J592" s="24"/>
      <c r="V592" s="39"/>
      <c r="W592" s="39"/>
      <c r="X592" s="24"/>
    </row>
    <row r="593" ht="15.75" customHeight="1">
      <c r="E593" s="24"/>
      <c r="J593" s="24"/>
      <c r="V593" s="39"/>
      <c r="W593" s="39"/>
      <c r="X593" s="24"/>
    </row>
    <row r="594" ht="15.75" customHeight="1">
      <c r="E594" s="24"/>
      <c r="J594" s="24"/>
      <c r="V594" s="39"/>
      <c r="W594" s="39"/>
      <c r="X594" s="24"/>
    </row>
    <row r="595" ht="15.75" customHeight="1">
      <c r="E595" s="24"/>
      <c r="J595" s="24"/>
      <c r="V595" s="39"/>
      <c r="W595" s="39"/>
      <c r="X595" s="24"/>
    </row>
    <row r="596" ht="15.75" customHeight="1">
      <c r="E596" s="24"/>
      <c r="J596" s="24"/>
      <c r="V596" s="39"/>
      <c r="W596" s="39"/>
      <c r="X596" s="24"/>
    </row>
    <row r="597" ht="15.75" customHeight="1">
      <c r="E597" s="24"/>
      <c r="J597" s="24"/>
      <c r="V597" s="39"/>
      <c r="W597" s="39"/>
      <c r="X597" s="24"/>
    </row>
    <row r="598" ht="15.75" customHeight="1">
      <c r="E598" s="24"/>
      <c r="J598" s="24"/>
      <c r="V598" s="39"/>
      <c r="W598" s="39"/>
      <c r="X598" s="24"/>
    </row>
    <row r="599" ht="15.75" customHeight="1">
      <c r="E599" s="24"/>
      <c r="J599" s="24"/>
      <c r="V599" s="39"/>
      <c r="W599" s="39"/>
      <c r="X599" s="24"/>
    </row>
    <row r="600" ht="15.75" customHeight="1">
      <c r="E600" s="24"/>
      <c r="J600" s="24"/>
      <c r="V600" s="39"/>
      <c r="W600" s="39"/>
      <c r="X600" s="24"/>
    </row>
    <row r="601" ht="15.75" customHeight="1">
      <c r="E601" s="24"/>
      <c r="J601" s="24"/>
      <c r="V601" s="39"/>
      <c r="W601" s="39"/>
      <c r="X601" s="24"/>
    </row>
    <row r="602" ht="15.75" customHeight="1">
      <c r="E602" s="24"/>
      <c r="J602" s="24"/>
      <c r="V602" s="39"/>
      <c r="W602" s="39"/>
      <c r="X602" s="24"/>
    </row>
    <row r="603" ht="15.75" customHeight="1">
      <c r="E603" s="24"/>
      <c r="J603" s="24"/>
      <c r="V603" s="39"/>
      <c r="W603" s="39"/>
      <c r="X603" s="24"/>
    </row>
    <row r="604" ht="15.75" customHeight="1">
      <c r="E604" s="24"/>
      <c r="J604" s="24"/>
      <c r="V604" s="39"/>
      <c r="W604" s="39"/>
      <c r="X604" s="24"/>
    </row>
    <row r="605" ht="15.75" customHeight="1">
      <c r="E605" s="24"/>
      <c r="J605" s="24"/>
      <c r="V605" s="39"/>
      <c r="W605" s="39"/>
      <c r="X605" s="24"/>
    </row>
    <row r="606" ht="15.75" customHeight="1">
      <c r="E606" s="24"/>
      <c r="J606" s="24"/>
      <c r="V606" s="39"/>
      <c r="W606" s="39"/>
      <c r="X606" s="24"/>
    </row>
    <row r="607" ht="15.75" customHeight="1">
      <c r="E607" s="24"/>
      <c r="J607" s="24"/>
      <c r="V607" s="39"/>
      <c r="W607" s="39"/>
      <c r="X607" s="24"/>
    </row>
    <row r="608" ht="15.75" customHeight="1">
      <c r="E608" s="24"/>
      <c r="J608" s="24"/>
      <c r="V608" s="39"/>
      <c r="W608" s="39"/>
      <c r="X608" s="24"/>
    </row>
    <row r="609" ht="15.75" customHeight="1">
      <c r="E609" s="24"/>
      <c r="J609" s="24"/>
      <c r="V609" s="39"/>
      <c r="W609" s="39"/>
      <c r="X609" s="24"/>
    </row>
    <row r="610" ht="15.75" customHeight="1">
      <c r="E610" s="24"/>
      <c r="J610" s="24"/>
      <c r="V610" s="39"/>
      <c r="W610" s="39"/>
      <c r="X610" s="24"/>
    </row>
    <row r="611" ht="15.75" customHeight="1">
      <c r="E611" s="24"/>
      <c r="J611" s="24"/>
      <c r="V611" s="39"/>
      <c r="W611" s="39"/>
      <c r="X611" s="24"/>
    </row>
    <row r="612" ht="15.75" customHeight="1">
      <c r="E612" s="24"/>
      <c r="J612" s="24"/>
      <c r="V612" s="39"/>
      <c r="W612" s="39"/>
      <c r="X612" s="24"/>
    </row>
    <row r="613" ht="15.75" customHeight="1">
      <c r="E613" s="24"/>
      <c r="J613" s="24"/>
      <c r="V613" s="39"/>
      <c r="W613" s="39"/>
      <c r="X613" s="24"/>
    </row>
    <row r="614" ht="15.75" customHeight="1">
      <c r="E614" s="24"/>
      <c r="J614" s="24"/>
      <c r="V614" s="39"/>
      <c r="W614" s="39"/>
      <c r="X614" s="24"/>
    </row>
    <row r="615" ht="15.75" customHeight="1">
      <c r="E615" s="24"/>
      <c r="J615" s="24"/>
      <c r="V615" s="39"/>
      <c r="W615" s="39"/>
      <c r="X615" s="24"/>
    </row>
    <row r="616" ht="15.75" customHeight="1">
      <c r="E616" s="24"/>
      <c r="J616" s="24"/>
      <c r="V616" s="39"/>
      <c r="W616" s="39"/>
      <c r="X616" s="24"/>
    </row>
    <row r="617" ht="15.75" customHeight="1">
      <c r="E617" s="24"/>
      <c r="J617" s="24"/>
      <c r="V617" s="39"/>
      <c r="W617" s="39"/>
      <c r="X617" s="24"/>
    </row>
    <row r="618" ht="15.75" customHeight="1">
      <c r="E618" s="24"/>
      <c r="J618" s="24"/>
      <c r="V618" s="39"/>
      <c r="W618" s="39"/>
      <c r="X618" s="24"/>
    </row>
    <row r="619" ht="15.75" customHeight="1">
      <c r="E619" s="24"/>
      <c r="J619" s="24"/>
      <c r="V619" s="39"/>
      <c r="W619" s="39"/>
      <c r="X619" s="24"/>
    </row>
    <row r="620" ht="15.75" customHeight="1">
      <c r="E620" s="24"/>
      <c r="J620" s="24"/>
      <c r="V620" s="39"/>
      <c r="W620" s="39"/>
      <c r="X620" s="24"/>
    </row>
    <row r="621" ht="15.75" customHeight="1">
      <c r="E621" s="24"/>
      <c r="J621" s="24"/>
      <c r="V621" s="39"/>
      <c r="W621" s="39"/>
      <c r="X621" s="24"/>
    </row>
    <row r="622" ht="15.75" customHeight="1">
      <c r="E622" s="24"/>
      <c r="J622" s="24"/>
      <c r="V622" s="39"/>
      <c r="W622" s="39"/>
      <c r="X622" s="24"/>
    </row>
    <row r="623" ht="15.75" customHeight="1">
      <c r="E623" s="24"/>
      <c r="J623" s="24"/>
      <c r="V623" s="39"/>
      <c r="W623" s="39"/>
      <c r="X623" s="24"/>
    </row>
    <row r="624" ht="15.75" customHeight="1">
      <c r="E624" s="24"/>
      <c r="J624" s="24"/>
      <c r="V624" s="39"/>
      <c r="W624" s="39"/>
      <c r="X624" s="24"/>
    </row>
    <row r="625" ht="15.75" customHeight="1">
      <c r="E625" s="24"/>
      <c r="J625" s="24"/>
      <c r="V625" s="39"/>
      <c r="W625" s="39"/>
      <c r="X625" s="24"/>
    </row>
    <row r="626" ht="15.75" customHeight="1">
      <c r="E626" s="24"/>
      <c r="J626" s="24"/>
      <c r="V626" s="39"/>
      <c r="W626" s="39"/>
      <c r="X626" s="24"/>
    </row>
    <row r="627" ht="15.75" customHeight="1">
      <c r="E627" s="24"/>
      <c r="J627" s="24"/>
      <c r="V627" s="39"/>
      <c r="W627" s="39"/>
      <c r="X627" s="24"/>
    </row>
    <row r="628" ht="15.75" customHeight="1">
      <c r="E628" s="24"/>
      <c r="J628" s="24"/>
      <c r="V628" s="39"/>
      <c r="W628" s="39"/>
      <c r="X628" s="24"/>
    </row>
    <row r="629" ht="15.75" customHeight="1">
      <c r="E629" s="24"/>
      <c r="J629" s="24"/>
      <c r="V629" s="39"/>
      <c r="W629" s="39"/>
      <c r="X629" s="24"/>
    </row>
    <row r="630" ht="15.75" customHeight="1">
      <c r="E630" s="24"/>
      <c r="J630" s="24"/>
      <c r="V630" s="39"/>
      <c r="W630" s="39"/>
      <c r="X630" s="24"/>
    </row>
    <row r="631" ht="15.75" customHeight="1">
      <c r="E631" s="24"/>
      <c r="J631" s="24"/>
      <c r="V631" s="39"/>
      <c r="W631" s="39"/>
      <c r="X631" s="24"/>
    </row>
    <row r="632" ht="15.75" customHeight="1">
      <c r="E632" s="24"/>
      <c r="J632" s="24"/>
      <c r="V632" s="39"/>
      <c r="W632" s="39"/>
      <c r="X632" s="24"/>
    </row>
    <row r="633" ht="15.75" customHeight="1">
      <c r="E633" s="24"/>
      <c r="J633" s="24"/>
      <c r="V633" s="39"/>
      <c r="W633" s="39"/>
      <c r="X633" s="24"/>
    </row>
    <row r="634" ht="15.75" customHeight="1">
      <c r="E634" s="24"/>
      <c r="J634" s="24"/>
      <c r="V634" s="39"/>
      <c r="W634" s="39"/>
      <c r="X634" s="24"/>
    </row>
    <row r="635" ht="15.75" customHeight="1">
      <c r="E635" s="24"/>
      <c r="J635" s="24"/>
      <c r="V635" s="39"/>
      <c r="W635" s="39"/>
      <c r="X635" s="24"/>
    </row>
    <row r="636" ht="15.75" customHeight="1">
      <c r="E636" s="24"/>
      <c r="J636" s="24"/>
      <c r="V636" s="39"/>
      <c r="W636" s="39"/>
      <c r="X636" s="24"/>
    </row>
    <row r="637" ht="15.75" customHeight="1">
      <c r="E637" s="24"/>
      <c r="J637" s="24"/>
      <c r="V637" s="39"/>
      <c r="W637" s="39"/>
      <c r="X637" s="24"/>
    </row>
    <row r="638" ht="15.75" customHeight="1">
      <c r="E638" s="24"/>
      <c r="J638" s="24"/>
      <c r="V638" s="39"/>
      <c r="W638" s="39"/>
      <c r="X638" s="24"/>
    </row>
    <row r="639" ht="15.75" customHeight="1">
      <c r="E639" s="24"/>
      <c r="J639" s="24"/>
      <c r="V639" s="39"/>
      <c r="W639" s="39"/>
      <c r="X639" s="24"/>
    </row>
    <row r="640" ht="15.75" customHeight="1">
      <c r="E640" s="24"/>
      <c r="J640" s="24"/>
      <c r="V640" s="39"/>
      <c r="W640" s="39"/>
      <c r="X640" s="24"/>
    </row>
    <row r="641" ht="15.75" customHeight="1">
      <c r="E641" s="24"/>
      <c r="J641" s="24"/>
      <c r="V641" s="39"/>
      <c r="W641" s="39"/>
      <c r="X641" s="24"/>
    </row>
    <row r="642" ht="15.75" customHeight="1">
      <c r="E642" s="24"/>
      <c r="J642" s="24"/>
      <c r="V642" s="39"/>
      <c r="W642" s="39"/>
      <c r="X642" s="24"/>
    </row>
    <row r="643" ht="15.75" customHeight="1">
      <c r="E643" s="24"/>
      <c r="J643" s="24"/>
      <c r="V643" s="39"/>
      <c r="W643" s="39"/>
      <c r="X643" s="24"/>
    </row>
    <row r="644" ht="15.75" customHeight="1">
      <c r="E644" s="24"/>
      <c r="J644" s="24"/>
      <c r="V644" s="39"/>
      <c r="W644" s="39"/>
      <c r="X644" s="24"/>
    </row>
    <row r="645" ht="15.75" customHeight="1">
      <c r="E645" s="24"/>
      <c r="J645" s="24"/>
      <c r="V645" s="39"/>
      <c r="W645" s="39"/>
      <c r="X645" s="24"/>
    </row>
    <row r="646" ht="15.75" customHeight="1">
      <c r="E646" s="24"/>
      <c r="J646" s="24"/>
      <c r="V646" s="39"/>
      <c r="W646" s="39"/>
      <c r="X646" s="24"/>
    </row>
    <row r="647" ht="15.75" customHeight="1">
      <c r="E647" s="24"/>
      <c r="J647" s="24"/>
      <c r="V647" s="39"/>
      <c r="W647" s="39"/>
      <c r="X647" s="24"/>
    </row>
    <row r="648" ht="15.75" customHeight="1">
      <c r="E648" s="24"/>
      <c r="J648" s="24"/>
      <c r="V648" s="39"/>
      <c r="W648" s="39"/>
      <c r="X648" s="24"/>
    </row>
    <row r="649" ht="15.75" customHeight="1">
      <c r="E649" s="24"/>
      <c r="J649" s="24"/>
      <c r="V649" s="39"/>
      <c r="W649" s="39"/>
      <c r="X649" s="24"/>
    </row>
    <row r="650" ht="15.75" customHeight="1">
      <c r="E650" s="24"/>
      <c r="J650" s="24"/>
      <c r="V650" s="39"/>
      <c r="W650" s="39"/>
      <c r="X650" s="24"/>
    </row>
    <row r="651" ht="15.75" customHeight="1">
      <c r="E651" s="24"/>
      <c r="J651" s="24"/>
      <c r="V651" s="39"/>
      <c r="W651" s="39"/>
      <c r="X651" s="24"/>
    </row>
    <row r="652" ht="15.75" customHeight="1">
      <c r="E652" s="24"/>
      <c r="J652" s="24"/>
      <c r="V652" s="39"/>
      <c r="W652" s="39"/>
      <c r="X652" s="24"/>
    </row>
    <row r="653" ht="15.75" customHeight="1">
      <c r="E653" s="24"/>
      <c r="J653" s="24"/>
      <c r="V653" s="39"/>
      <c r="W653" s="39"/>
      <c r="X653" s="24"/>
    </row>
    <row r="654" ht="15.75" customHeight="1">
      <c r="E654" s="24"/>
      <c r="J654" s="24"/>
      <c r="V654" s="39"/>
      <c r="W654" s="39"/>
      <c r="X654" s="24"/>
    </row>
    <row r="655" ht="15.75" customHeight="1">
      <c r="E655" s="24"/>
      <c r="J655" s="24"/>
      <c r="V655" s="39"/>
      <c r="W655" s="39"/>
      <c r="X655" s="24"/>
    </row>
    <row r="656" ht="15.75" customHeight="1">
      <c r="E656" s="24"/>
      <c r="J656" s="24"/>
      <c r="V656" s="39"/>
      <c r="W656" s="39"/>
      <c r="X656" s="24"/>
    </row>
    <row r="657" ht="15.75" customHeight="1">
      <c r="E657" s="24"/>
      <c r="J657" s="24"/>
      <c r="V657" s="39"/>
      <c r="W657" s="39"/>
      <c r="X657" s="24"/>
    </row>
    <row r="658" ht="15.75" customHeight="1">
      <c r="E658" s="24"/>
      <c r="J658" s="24"/>
      <c r="V658" s="39"/>
      <c r="W658" s="39"/>
      <c r="X658" s="24"/>
    </row>
    <row r="659" ht="15.75" customHeight="1">
      <c r="E659" s="24"/>
      <c r="J659" s="24"/>
      <c r="V659" s="39"/>
      <c r="W659" s="39"/>
      <c r="X659" s="24"/>
    </row>
    <row r="660" ht="15.75" customHeight="1">
      <c r="E660" s="24"/>
      <c r="J660" s="24"/>
      <c r="V660" s="39"/>
      <c r="W660" s="39"/>
      <c r="X660" s="24"/>
    </row>
    <row r="661" ht="15.75" customHeight="1">
      <c r="E661" s="24"/>
      <c r="J661" s="24"/>
      <c r="V661" s="39"/>
      <c r="W661" s="39"/>
      <c r="X661" s="24"/>
    </row>
    <row r="662" ht="15.75" customHeight="1">
      <c r="E662" s="24"/>
      <c r="J662" s="24"/>
      <c r="V662" s="39"/>
      <c r="W662" s="39"/>
      <c r="X662" s="24"/>
    </row>
    <row r="663" ht="15.75" customHeight="1">
      <c r="E663" s="24"/>
      <c r="J663" s="24"/>
      <c r="V663" s="39"/>
      <c r="W663" s="39"/>
      <c r="X663" s="24"/>
    </row>
    <row r="664" ht="15.75" customHeight="1">
      <c r="E664" s="24"/>
      <c r="J664" s="24"/>
      <c r="V664" s="39"/>
      <c r="W664" s="39"/>
      <c r="X664" s="24"/>
    </row>
    <row r="665" ht="15.75" customHeight="1">
      <c r="E665" s="24"/>
      <c r="J665" s="24"/>
      <c r="V665" s="39"/>
      <c r="W665" s="39"/>
      <c r="X665" s="24"/>
    </row>
    <row r="666" ht="15.75" customHeight="1">
      <c r="E666" s="24"/>
      <c r="J666" s="24"/>
      <c r="V666" s="39"/>
      <c r="W666" s="39"/>
      <c r="X666" s="24"/>
    </row>
    <row r="667" ht="15.75" customHeight="1">
      <c r="E667" s="24"/>
      <c r="J667" s="24"/>
      <c r="V667" s="39"/>
      <c r="W667" s="39"/>
      <c r="X667" s="24"/>
    </row>
    <row r="668" ht="15.75" customHeight="1">
      <c r="E668" s="24"/>
      <c r="J668" s="24"/>
      <c r="V668" s="39"/>
      <c r="W668" s="39"/>
      <c r="X668" s="24"/>
    </row>
    <row r="669" ht="15.75" customHeight="1">
      <c r="E669" s="24"/>
      <c r="J669" s="24"/>
      <c r="V669" s="39"/>
      <c r="W669" s="39"/>
      <c r="X669" s="24"/>
    </row>
    <row r="670" ht="15.75" customHeight="1">
      <c r="E670" s="24"/>
      <c r="J670" s="24"/>
      <c r="V670" s="39"/>
      <c r="W670" s="39"/>
      <c r="X670" s="24"/>
    </row>
    <row r="671" ht="15.75" customHeight="1">
      <c r="E671" s="24"/>
      <c r="J671" s="24"/>
      <c r="V671" s="39"/>
      <c r="W671" s="39"/>
      <c r="X671" s="24"/>
    </row>
    <row r="672" ht="15.75" customHeight="1">
      <c r="E672" s="24"/>
      <c r="J672" s="24"/>
      <c r="V672" s="39"/>
      <c r="W672" s="39"/>
      <c r="X672" s="24"/>
    </row>
    <row r="673" ht="15.75" customHeight="1">
      <c r="E673" s="24"/>
      <c r="J673" s="24"/>
      <c r="V673" s="39"/>
      <c r="W673" s="39"/>
      <c r="X673" s="24"/>
    </row>
    <row r="674" ht="15.75" customHeight="1">
      <c r="E674" s="24"/>
      <c r="J674" s="24"/>
      <c r="V674" s="39"/>
      <c r="W674" s="39"/>
      <c r="X674" s="24"/>
    </row>
    <row r="675" ht="15.75" customHeight="1">
      <c r="E675" s="24"/>
      <c r="J675" s="24"/>
      <c r="V675" s="39"/>
      <c r="W675" s="39"/>
      <c r="X675" s="24"/>
    </row>
    <row r="676" ht="15.75" customHeight="1">
      <c r="E676" s="24"/>
      <c r="J676" s="24"/>
      <c r="V676" s="39"/>
      <c r="W676" s="39"/>
      <c r="X676" s="24"/>
    </row>
    <row r="677" ht="15.75" customHeight="1">
      <c r="E677" s="24"/>
      <c r="J677" s="24"/>
      <c r="V677" s="39"/>
      <c r="W677" s="39"/>
      <c r="X677" s="24"/>
    </row>
    <row r="678" ht="15.75" customHeight="1">
      <c r="E678" s="24"/>
      <c r="J678" s="24"/>
      <c r="V678" s="39"/>
      <c r="W678" s="39"/>
      <c r="X678" s="24"/>
    </row>
    <row r="679" ht="15.75" customHeight="1">
      <c r="E679" s="24"/>
      <c r="J679" s="24"/>
      <c r="V679" s="39"/>
      <c r="W679" s="39"/>
      <c r="X679" s="24"/>
    </row>
    <row r="680" ht="15.75" customHeight="1">
      <c r="E680" s="24"/>
      <c r="J680" s="24"/>
      <c r="V680" s="39"/>
      <c r="W680" s="39"/>
      <c r="X680" s="24"/>
    </row>
    <row r="681" ht="15.75" customHeight="1">
      <c r="E681" s="24"/>
      <c r="J681" s="24"/>
      <c r="V681" s="39"/>
      <c r="W681" s="39"/>
      <c r="X681" s="24"/>
    </row>
    <row r="682" ht="15.75" customHeight="1">
      <c r="E682" s="24"/>
      <c r="J682" s="24"/>
      <c r="V682" s="39"/>
      <c r="W682" s="39"/>
      <c r="X682" s="24"/>
    </row>
    <row r="683" ht="15.75" customHeight="1">
      <c r="E683" s="24"/>
      <c r="J683" s="24"/>
      <c r="V683" s="39"/>
      <c r="W683" s="39"/>
      <c r="X683" s="24"/>
    </row>
    <row r="684" ht="15.75" customHeight="1">
      <c r="E684" s="24"/>
      <c r="J684" s="24"/>
      <c r="V684" s="39"/>
      <c r="W684" s="39"/>
      <c r="X684" s="24"/>
    </row>
    <row r="685" ht="15.75" customHeight="1">
      <c r="E685" s="24"/>
      <c r="J685" s="24"/>
      <c r="V685" s="39"/>
      <c r="W685" s="39"/>
      <c r="X685" s="24"/>
    </row>
    <row r="686" ht="15.75" customHeight="1">
      <c r="E686" s="24"/>
      <c r="J686" s="24"/>
      <c r="V686" s="39"/>
      <c r="W686" s="39"/>
      <c r="X686" s="24"/>
    </row>
    <row r="687" ht="15.75" customHeight="1">
      <c r="E687" s="24"/>
      <c r="J687" s="24"/>
      <c r="V687" s="39"/>
      <c r="W687" s="39"/>
      <c r="X687" s="24"/>
    </row>
    <row r="688" ht="15.75" customHeight="1">
      <c r="E688" s="24"/>
      <c r="J688" s="24"/>
      <c r="V688" s="39"/>
      <c r="W688" s="39"/>
      <c r="X688" s="24"/>
    </row>
    <row r="689" ht="15.75" customHeight="1">
      <c r="E689" s="24"/>
      <c r="J689" s="24"/>
      <c r="V689" s="39"/>
      <c r="W689" s="39"/>
      <c r="X689" s="24"/>
    </row>
    <row r="690" ht="15.75" customHeight="1">
      <c r="E690" s="24"/>
      <c r="J690" s="24"/>
      <c r="V690" s="39"/>
      <c r="W690" s="39"/>
      <c r="X690" s="24"/>
    </row>
    <row r="691" ht="15.75" customHeight="1">
      <c r="E691" s="24"/>
      <c r="J691" s="24"/>
      <c r="V691" s="39"/>
      <c r="W691" s="39"/>
      <c r="X691" s="24"/>
    </row>
    <row r="692" ht="15.75" customHeight="1">
      <c r="E692" s="24"/>
      <c r="J692" s="24"/>
      <c r="V692" s="39"/>
      <c r="W692" s="39"/>
      <c r="X692" s="24"/>
    </row>
    <row r="693" ht="15.75" customHeight="1">
      <c r="E693" s="24"/>
      <c r="J693" s="24"/>
      <c r="V693" s="39"/>
      <c r="W693" s="39"/>
      <c r="X693" s="24"/>
    </row>
    <row r="694" ht="15.75" customHeight="1">
      <c r="E694" s="24"/>
      <c r="J694" s="24"/>
      <c r="V694" s="39"/>
      <c r="W694" s="39"/>
      <c r="X694" s="24"/>
    </row>
    <row r="695" ht="15.75" customHeight="1">
      <c r="E695" s="24"/>
      <c r="J695" s="24"/>
      <c r="V695" s="39"/>
      <c r="W695" s="39"/>
      <c r="X695" s="24"/>
    </row>
    <row r="696" ht="15.75" customHeight="1">
      <c r="E696" s="24"/>
      <c r="J696" s="24"/>
      <c r="V696" s="39"/>
      <c r="W696" s="39"/>
      <c r="X696" s="24"/>
    </row>
    <row r="697" ht="15.75" customHeight="1">
      <c r="E697" s="24"/>
      <c r="J697" s="24"/>
      <c r="V697" s="39"/>
      <c r="W697" s="39"/>
      <c r="X697" s="24"/>
    </row>
    <row r="698" ht="15.75" customHeight="1">
      <c r="E698" s="24"/>
      <c r="J698" s="24"/>
      <c r="V698" s="39"/>
      <c r="W698" s="39"/>
      <c r="X698" s="24"/>
    </row>
    <row r="699" ht="15.75" customHeight="1">
      <c r="E699" s="24"/>
      <c r="J699" s="24"/>
      <c r="V699" s="39"/>
      <c r="W699" s="39"/>
      <c r="X699" s="24"/>
    </row>
    <row r="700" ht="15.75" customHeight="1">
      <c r="E700" s="24"/>
      <c r="J700" s="24"/>
      <c r="V700" s="39"/>
      <c r="W700" s="39"/>
      <c r="X700" s="24"/>
    </row>
    <row r="701" ht="15.75" customHeight="1">
      <c r="E701" s="24"/>
      <c r="J701" s="24"/>
      <c r="V701" s="39"/>
      <c r="W701" s="39"/>
      <c r="X701" s="24"/>
    </row>
    <row r="702" ht="15.75" customHeight="1">
      <c r="E702" s="24"/>
      <c r="J702" s="24"/>
      <c r="V702" s="39"/>
      <c r="W702" s="39"/>
      <c r="X702" s="24"/>
    </row>
    <row r="703" ht="15.75" customHeight="1">
      <c r="E703" s="24"/>
      <c r="J703" s="24"/>
      <c r="V703" s="39"/>
      <c r="W703" s="39"/>
      <c r="X703" s="24"/>
    </row>
    <row r="704" ht="15.75" customHeight="1">
      <c r="E704" s="24"/>
      <c r="J704" s="24"/>
      <c r="V704" s="39"/>
      <c r="W704" s="39"/>
      <c r="X704" s="24"/>
    </row>
    <row r="705" ht="15.75" customHeight="1">
      <c r="E705" s="24"/>
      <c r="J705" s="24"/>
      <c r="V705" s="39"/>
      <c r="W705" s="39"/>
      <c r="X705" s="24"/>
    </row>
    <row r="706" ht="15.75" customHeight="1">
      <c r="E706" s="24"/>
      <c r="J706" s="24"/>
      <c r="V706" s="39"/>
      <c r="W706" s="39"/>
      <c r="X706" s="24"/>
    </row>
    <row r="707" ht="15.75" customHeight="1">
      <c r="E707" s="24"/>
      <c r="J707" s="24"/>
      <c r="V707" s="39"/>
      <c r="W707" s="39"/>
      <c r="X707" s="24"/>
    </row>
    <row r="708" ht="15.75" customHeight="1">
      <c r="E708" s="24"/>
      <c r="J708" s="24"/>
      <c r="V708" s="39"/>
      <c r="W708" s="39"/>
      <c r="X708" s="24"/>
    </row>
    <row r="709" ht="15.75" customHeight="1">
      <c r="E709" s="24"/>
      <c r="J709" s="24"/>
      <c r="V709" s="39"/>
      <c r="W709" s="39"/>
      <c r="X709" s="24"/>
    </row>
    <row r="710" ht="15.75" customHeight="1">
      <c r="E710" s="24"/>
      <c r="J710" s="24"/>
      <c r="V710" s="39"/>
      <c r="W710" s="39"/>
      <c r="X710" s="24"/>
    </row>
    <row r="711" ht="15.75" customHeight="1">
      <c r="E711" s="24"/>
      <c r="J711" s="24"/>
      <c r="V711" s="39"/>
      <c r="W711" s="39"/>
      <c r="X711" s="24"/>
    </row>
    <row r="712" ht="15.75" customHeight="1">
      <c r="E712" s="24"/>
      <c r="J712" s="24"/>
      <c r="V712" s="39"/>
      <c r="W712" s="39"/>
      <c r="X712" s="24"/>
    </row>
    <row r="713" ht="15.75" customHeight="1">
      <c r="E713" s="24"/>
      <c r="J713" s="24"/>
      <c r="V713" s="39"/>
      <c r="W713" s="39"/>
      <c r="X713" s="24"/>
    </row>
    <row r="714" ht="15.75" customHeight="1">
      <c r="E714" s="24"/>
      <c r="J714" s="24"/>
      <c r="V714" s="39"/>
      <c r="W714" s="39"/>
      <c r="X714" s="24"/>
    </row>
    <row r="715" ht="15.75" customHeight="1">
      <c r="E715" s="24"/>
      <c r="J715" s="24"/>
      <c r="V715" s="39"/>
      <c r="W715" s="39"/>
      <c r="X715" s="24"/>
    </row>
    <row r="716" ht="15.75" customHeight="1">
      <c r="E716" s="24"/>
      <c r="J716" s="24"/>
      <c r="V716" s="39"/>
      <c r="W716" s="39"/>
      <c r="X716" s="24"/>
    </row>
    <row r="717" ht="15.75" customHeight="1">
      <c r="E717" s="24"/>
      <c r="J717" s="24"/>
      <c r="V717" s="39"/>
      <c r="W717" s="39"/>
      <c r="X717" s="24"/>
    </row>
    <row r="718" ht="15.75" customHeight="1">
      <c r="E718" s="24"/>
      <c r="J718" s="24"/>
      <c r="V718" s="39"/>
      <c r="W718" s="39"/>
      <c r="X718" s="24"/>
    </row>
    <row r="719" ht="15.75" customHeight="1">
      <c r="E719" s="24"/>
      <c r="J719" s="24"/>
      <c r="V719" s="39"/>
      <c r="W719" s="39"/>
      <c r="X719" s="24"/>
    </row>
    <row r="720" ht="15.75" customHeight="1">
      <c r="E720" s="24"/>
      <c r="J720" s="24"/>
      <c r="V720" s="39"/>
      <c r="W720" s="39"/>
      <c r="X720" s="24"/>
    </row>
    <row r="721" ht="15.75" customHeight="1">
      <c r="E721" s="24"/>
      <c r="J721" s="24"/>
      <c r="V721" s="39"/>
      <c r="W721" s="39"/>
      <c r="X721" s="24"/>
    </row>
    <row r="722" ht="15.75" customHeight="1">
      <c r="E722" s="24"/>
      <c r="J722" s="24"/>
      <c r="V722" s="39"/>
      <c r="W722" s="39"/>
      <c r="X722" s="24"/>
    </row>
    <row r="723" ht="15.75" customHeight="1">
      <c r="E723" s="24"/>
      <c r="J723" s="24"/>
      <c r="V723" s="39"/>
      <c r="W723" s="39"/>
      <c r="X723" s="24"/>
    </row>
    <row r="724" ht="15.75" customHeight="1">
      <c r="E724" s="24"/>
      <c r="J724" s="24"/>
      <c r="V724" s="39"/>
      <c r="W724" s="39"/>
      <c r="X724" s="24"/>
    </row>
    <row r="725" ht="15.75" customHeight="1">
      <c r="E725" s="24"/>
      <c r="J725" s="24"/>
      <c r="V725" s="39"/>
      <c r="W725" s="39"/>
      <c r="X725" s="24"/>
    </row>
    <row r="726" ht="15.75" customHeight="1">
      <c r="E726" s="24"/>
      <c r="J726" s="24"/>
      <c r="V726" s="39"/>
      <c r="W726" s="39"/>
      <c r="X726" s="24"/>
    </row>
    <row r="727" ht="15.75" customHeight="1">
      <c r="E727" s="24"/>
      <c r="J727" s="24"/>
      <c r="V727" s="39"/>
      <c r="W727" s="39"/>
      <c r="X727" s="24"/>
    </row>
    <row r="728" ht="15.75" customHeight="1">
      <c r="E728" s="24"/>
      <c r="J728" s="24"/>
      <c r="V728" s="39"/>
      <c r="W728" s="39"/>
      <c r="X728" s="24"/>
    </row>
    <row r="729" ht="15.75" customHeight="1">
      <c r="E729" s="24"/>
      <c r="J729" s="24"/>
      <c r="V729" s="39"/>
      <c r="W729" s="39"/>
      <c r="X729" s="24"/>
    </row>
    <row r="730" ht="15.75" customHeight="1">
      <c r="E730" s="24"/>
      <c r="J730" s="24"/>
      <c r="V730" s="39"/>
      <c r="W730" s="39"/>
      <c r="X730" s="24"/>
    </row>
    <row r="731" ht="15.75" customHeight="1">
      <c r="E731" s="24"/>
      <c r="J731" s="24"/>
      <c r="V731" s="39"/>
      <c r="W731" s="39"/>
      <c r="X731" s="24"/>
    </row>
    <row r="732" ht="15.75" customHeight="1">
      <c r="E732" s="24"/>
      <c r="J732" s="24"/>
      <c r="V732" s="39"/>
      <c r="W732" s="39"/>
      <c r="X732" s="24"/>
    </row>
    <row r="733" ht="15.75" customHeight="1">
      <c r="E733" s="24"/>
      <c r="J733" s="24"/>
      <c r="V733" s="39"/>
      <c r="W733" s="39"/>
      <c r="X733" s="24"/>
    </row>
    <row r="734" ht="15.75" customHeight="1">
      <c r="E734" s="24"/>
      <c r="J734" s="24"/>
      <c r="V734" s="39"/>
      <c r="W734" s="39"/>
      <c r="X734" s="24"/>
    </row>
    <row r="735" ht="15.75" customHeight="1">
      <c r="E735" s="24"/>
      <c r="J735" s="24"/>
      <c r="V735" s="39"/>
      <c r="W735" s="39"/>
      <c r="X735" s="24"/>
    </row>
    <row r="736" ht="15.75" customHeight="1">
      <c r="E736" s="24"/>
      <c r="J736" s="24"/>
      <c r="V736" s="39"/>
      <c r="W736" s="39"/>
      <c r="X736" s="24"/>
    </row>
    <row r="737" ht="15.75" customHeight="1">
      <c r="E737" s="24"/>
      <c r="J737" s="24"/>
      <c r="V737" s="39"/>
      <c r="W737" s="39"/>
      <c r="X737" s="24"/>
    </row>
    <row r="738" ht="15.75" customHeight="1">
      <c r="E738" s="24"/>
      <c r="J738" s="24"/>
      <c r="V738" s="39"/>
      <c r="W738" s="39"/>
      <c r="X738" s="24"/>
    </row>
    <row r="739" ht="15.75" customHeight="1">
      <c r="E739" s="24"/>
      <c r="J739" s="24"/>
      <c r="V739" s="39"/>
      <c r="W739" s="39"/>
      <c r="X739" s="24"/>
    </row>
    <row r="740" ht="15.75" customHeight="1">
      <c r="E740" s="24"/>
      <c r="J740" s="24"/>
      <c r="V740" s="39"/>
      <c r="W740" s="39"/>
      <c r="X740" s="24"/>
    </row>
    <row r="741" ht="15.75" customHeight="1">
      <c r="E741" s="24"/>
      <c r="J741" s="24"/>
      <c r="V741" s="39"/>
      <c r="W741" s="39"/>
      <c r="X741" s="24"/>
    </row>
    <row r="742" ht="15.75" customHeight="1">
      <c r="E742" s="24"/>
      <c r="J742" s="24"/>
      <c r="V742" s="39"/>
      <c r="W742" s="39"/>
      <c r="X742" s="24"/>
    </row>
    <row r="743" ht="15.75" customHeight="1">
      <c r="E743" s="24"/>
      <c r="J743" s="24"/>
      <c r="V743" s="39"/>
      <c r="W743" s="39"/>
      <c r="X743" s="24"/>
    </row>
    <row r="744" ht="15.75" customHeight="1">
      <c r="E744" s="24"/>
      <c r="J744" s="24"/>
      <c r="V744" s="39"/>
      <c r="W744" s="39"/>
      <c r="X744" s="24"/>
    </row>
    <row r="745" ht="15.75" customHeight="1">
      <c r="E745" s="24"/>
      <c r="J745" s="24"/>
      <c r="V745" s="39"/>
      <c r="W745" s="39"/>
      <c r="X745" s="24"/>
    </row>
    <row r="746" ht="15.75" customHeight="1">
      <c r="E746" s="24"/>
      <c r="J746" s="24"/>
      <c r="V746" s="39"/>
      <c r="W746" s="39"/>
      <c r="X746" s="24"/>
    </row>
    <row r="747" ht="15.75" customHeight="1">
      <c r="E747" s="24"/>
      <c r="J747" s="24"/>
      <c r="V747" s="39"/>
      <c r="W747" s="39"/>
      <c r="X747" s="24"/>
    </row>
    <row r="748" ht="15.75" customHeight="1">
      <c r="E748" s="24"/>
      <c r="J748" s="24"/>
      <c r="V748" s="39"/>
      <c r="W748" s="39"/>
      <c r="X748" s="24"/>
    </row>
    <row r="749" ht="15.75" customHeight="1">
      <c r="E749" s="24"/>
      <c r="J749" s="24"/>
      <c r="V749" s="39"/>
      <c r="W749" s="39"/>
      <c r="X749" s="24"/>
    </row>
    <row r="750" ht="15.75" customHeight="1">
      <c r="E750" s="24"/>
      <c r="J750" s="24"/>
      <c r="V750" s="39"/>
      <c r="W750" s="39"/>
      <c r="X750" s="24"/>
    </row>
    <row r="751" ht="15.75" customHeight="1">
      <c r="E751" s="24"/>
      <c r="J751" s="24"/>
      <c r="V751" s="39"/>
      <c r="W751" s="39"/>
      <c r="X751" s="24"/>
    </row>
    <row r="752" ht="15.75" customHeight="1">
      <c r="E752" s="24"/>
      <c r="J752" s="24"/>
      <c r="V752" s="39"/>
      <c r="W752" s="39"/>
      <c r="X752" s="24"/>
    </row>
    <row r="753" ht="15.75" customHeight="1">
      <c r="E753" s="24"/>
      <c r="J753" s="24"/>
      <c r="V753" s="39"/>
      <c r="W753" s="39"/>
      <c r="X753" s="24"/>
    </row>
    <row r="754" ht="15.75" customHeight="1">
      <c r="E754" s="24"/>
      <c r="J754" s="24"/>
      <c r="V754" s="39"/>
      <c r="W754" s="39"/>
      <c r="X754" s="24"/>
    </row>
    <row r="755" ht="15.75" customHeight="1">
      <c r="E755" s="24"/>
      <c r="J755" s="24"/>
      <c r="V755" s="39"/>
      <c r="W755" s="39"/>
      <c r="X755" s="24"/>
    </row>
    <row r="756" ht="15.75" customHeight="1">
      <c r="E756" s="24"/>
      <c r="J756" s="24"/>
      <c r="V756" s="39"/>
      <c r="W756" s="39"/>
      <c r="X756" s="24"/>
    </row>
    <row r="757" ht="15.75" customHeight="1">
      <c r="E757" s="24"/>
      <c r="J757" s="24"/>
      <c r="V757" s="39"/>
      <c r="W757" s="39"/>
      <c r="X757" s="24"/>
    </row>
    <row r="758" ht="15.75" customHeight="1">
      <c r="E758" s="24"/>
      <c r="J758" s="24"/>
      <c r="V758" s="39"/>
      <c r="W758" s="39"/>
      <c r="X758" s="24"/>
    </row>
    <row r="759" ht="15.75" customHeight="1">
      <c r="E759" s="24"/>
      <c r="J759" s="24"/>
      <c r="V759" s="39"/>
      <c r="W759" s="39"/>
      <c r="X759" s="24"/>
    </row>
    <row r="760" ht="15.75" customHeight="1">
      <c r="E760" s="24"/>
      <c r="J760" s="24"/>
      <c r="V760" s="39"/>
      <c r="W760" s="39"/>
      <c r="X760" s="24"/>
    </row>
    <row r="761" ht="15.75" customHeight="1">
      <c r="E761" s="24"/>
      <c r="J761" s="24"/>
      <c r="V761" s="39"/>
      <c r="W761" s="39"/>
      <c r="X761" s="24"/>
    </row>
    <row r="762" ht="15.75" customHeight="1">
      <c r="E762" s="24"/>
      <c r="J762" s="24"/>
      <c r="V762" s="39"/>
      <c r="W762" s="39"/>
      <c r="X762" s="24"/>
    </row>
    <row r="763" ht="15.75" customHeight="1">
      <c r="E763" s="24"/>
      <c r="J763" s="24"/>
      <c r="V763" s="39"/>
      <c r="W763" s="39"/>
      <c r="X763" s="24"/>
    </row>
    <row r="764" ht="15.75" customHeight="1">
      <c r="E764" s="24"/>
      <c r="J764" s="24"/>
      <c r="V764" s="39"/>
      <c r="W764" s="39"/>
      <c r="X764" s="24"/>
    </row>
    <row r="765" ht="15.75" customHeight="1">
      <c r="E765" s="24"/>
      <c r="J765" s="24"/>
      <c r="V765" s="39"/>
      <c r="W765" s="39"/>
      <c r="X765" s="24"/>
    </row>
    <row r="766" ht="15.75" customHeight="1">
      <c r="E766" s="24"/>
      <c r="J766" s="24"/>
      <c r="V766" s="39"/>
      <c r="W766" s="39"/>
      <c r="X766" s="24"/>
    </row>
    <row r="767" ht="15.75" customHeight="1">
      <c r="E767" s="24"/>
      <c r="J767" s="24"/>
      <c r="V767" s="39"/>
      <c r="W767" s="39"/>
      <c r="X767" s="24"/>
    </row>
    <row r="768" ht="15.75" customHeight="1">
      <c r="E768" s="24"/>
      <c r="J768" s="24"/>
      <c r="V768" s="39"/>
      <c r="W768" s="39"/>
      <c r="X768" s="24"/>
    </row>
    <row r="769" ht="15.75" customHeight="1">
      <c r="E769" s="24"/>
      <c r="J769" s="24"/>
      <c r="V769" s="39"/>
      <c r="W769" s="39"/>
      <c r="X769" s="24"/>
    </row>
    <row r="770" ht="15.75" customHeight="1">
      <c r="E770" s="24"/>
      <c r="J770" s="24"/>
      <c r="V770" s="39"/>
      <c r="W770" s="39"/>
      <c r="X770" s="24"/>
    </row>
    <row r="771" ht="15.75" customHeight="1">
      <c r="E771" s="24"/>
      <c r="J771" s="24"/>
      <c r="V771" s="39"/>
      <c r="W771" s="39"/>
      <c r="X771" s="24"/>
    </row>
    <row r="772" ht="15.75" customHeight="1">
      <c r="E772" s="24"/>
      <c r="J772" s="24"/>
      <c r="V772" s="39"/>
      <c r="W772" s="39"/>
      <c r="X772" s="24"/>
    </row>
    <row r="773" ht="15.75" customHeight="1">
      <c r="E773" s="24"/>
      <c r="J773" s="24"/>
      <c r="V773" s="39"/>
      <c r="W773" s="39"/>
      <c r="X773" s="24"/>
    </row>
    <row r="774" ht="15.75" customHeight="1">
      <c r="E774" s="24"/>
      <c r="J774" s="24"/>
      <c r="V774" s="39"/>
      <c r="W774" s="39"/>
      <c r="X774" s="24"/>
    </row>
    <row r="775" ht="15.75" customHeight="1">
      <c r="E775" s="24"/>
      <c r="J775" s="24"/>
      <c r="V775" s="39"/>
      <c r="W775" s="39"/>
      <c r="X775" s="24"/>
    </row>
    <row r="776" ht="15.75" customHeight="1">
      <c r="E776" s="24"/>
      <c r="J776" s="24"/>
      <c r="V776" s="39"/>
      <c r="W776" s="39"/>
      <c r="X776" s="24"/>
    </row>
    <row r="777" ht="15.75" customHeight="1">
      <c r="E777" s="24"/>
      <c r="J777" s="24"/>
      <c r="V777" s="39"/>
      <c r="W777" s="39"/>
      <c r="X777" s="24"/>
    </row>
    <row r="778" ht="15.75" customHeight="1">
      <c r="E778" s="24"/>
      <c r="J778" s="24"/>
      <c r="V778" s="39"/>
      <c r="W778" s="39"/>
      <c r="X778" s="24"/>
    </row>
    <row r="779" ht="15.75" customHeight="1">
      <c r="E779" s="24"/>
      <c r="J779" s="24"/>
      <c r="V779" s="39"/>
      <c r="W779" s="39"/>
      <c r="X779" s="24"/>
    </row>
    <row r="780" ht="15.75" customHeight="1">
      <c r="E780" s="24"/>
      <c r="J780" s="24"/>
      <c r="V780" s="39"/>
      <c r="W780" s="39"/>
      <c r="X780" s="24"/>
    </row>
    <row r="781" ht="15.75" customHeight="1">
      <c r="E781" s="24"/>
      <c r="J781" s="24"/>
      <c r="V781" s="39"/>
      <c r="W781" s="39"/>
      <c r="X781" s="24"/>
    </row>
    <row r="782" ht="15.75" customHeight="1">
      <c r="E782" s="24"/>
      <c r="J782" s="24"/>
      <c r="V782" s="39"/>
      <c r="W782" s="39"/>
      <c r="X782" s="24"/>
    </row>
    <row r="783" ht="15.75" customHeight="1">
      <c r="E783" s="24"/>
      <c r="J783" s="24"/>
      <c r="V783" s="39"/>
      <c r="W783" s="39"/>
      <c r="X783" s="24"/>
    </row>
    <row r="784" ht="15.75" customHeight="1">
      <c r="E784" s="24"/>
      <c r="J784" s="24"/>
      <c r="V784" s="39"/>
      <c r="W784" s="39"/>
      <c r="X784" s="24"/>
    </row>
    <row r="785" ht="15.75" customHeight="1">
      <c r="E785" s="24"/>
      <c r="J785" s="24"/>
      <c r="V785" s="39"/>
      <c r="W785" s="39"/>
      <c r="X785" s="24"/>
    </row>
    <row r="786" ht="15.75" customHeight="1">
      <c r="E786" s="24"/>
      <c r="J786" s="24"/>
      <c r="V786" s="39"/>
      <c r="W786" s="39"/>
      <c r="X786" s="24"/>
    </row>
    <row r="787" ht="15.75" customHeight="1">
      <c r="E787" s="24"/>
      <c r="J787" s="24"/>
      <c r="V787" s="39"/>
      <c r="W787" s="39"/>
      <c r="X787" s="24"/>
    </row>
    <row r="788" ht="15.75" customHeight="1">
      <c r="E788" s="24"/>
      <c r="J788" s="24"/>
      <c r="V788" s="39"/>
      <c r="W788" s="39"/>
      <c r="X788" s="24"/>
    </row>
    <row r="789" ht="15.75" customHeight="1">
      <c r="E789" s="24"/>
      <c r="J789" s="24"/>
      <c r="V789" s="39"/>
      <c r="W789" s="39"/>
      <c r="X789" s="24"/>
    </row>
    <row r="790" ht="15.75" customHeight="1">
      <c r="E790" s="24"/>
      <c r="J790" s="24"/>
      <c r="V790" s="39"/>
      <c r="W790" s="39"/>
      <c r="X790" s="24"/>
    </row>
    <row r="791" ht="15.75" customHeight="1">
      <c r="E791" s="24"/>
      <c r="J791" s="24"/>
      <c r="V791" s="39"/>
      <c r="W791" s="39"/>
      <c r="X791" s="24"/>
    </row>
    <row r="792" ht="15.75" customHeight="1">
      <c r="E792" s="24"/>
      <c r="J792" s="24"/>
      <c r="V792" s="39"/>
      <c r="W792" s="39"/>
      <c r="X792" s="24"/>
    </row>
    <row r="793" ht="15.75" customHeight="1">
      <c r="E793" s="24"/>
      <c r="J793" s="24"/>
      <c r="V793" s="39"/>
      <c r="W793" s="39"/>
      <c r="X793" s="24"/>
    </row>
    <row r="794" ht="15.75" customHeight="1">
      <c r="E794" s="24"/>
      <c r="J794" s="24"/>
      <c r="V794" s="39"/>
      <c r="W794" s="39"/>
      <c r="X794" s="24"/>
    </row>
    <row r="795" ht="15.75" customHeight="1">
      <c r="E795" s="24"/>
      <c r="J795" s="24"/>
      <c r="V795" s="39"/>
      <c r="W795" s="39"/>
      <c r="X795" s="24"/>
    </row>
    <row r="796" ht="15.75" customHeight="1">
      <c r="E796" s="24"/>
      <c r="J796" s="24"/>
      <c r="V796" s="39"/>
      <c r="W796" s="39"/>
      <c r="X796" s="24"/>
    </row>
    <row r="797" ht="15.75" customHeight="1">
      <c r="E797" s="24"/>
      <c r="J797" s="24"/>
      <c r="V797" s="39"/>
      <c r="W797" s="39"/>
      <c r="X797" s="24"/>
    </row>
    <row r="798" ht="15.75" customHeight="1">
      <c r="E798" s="24"/>
      <c r="J798" s="24"/>
      <c r="V798" s="39"/>
      <c r="W798" s="39"/>
      <c r="X798" s="24"/>
    </row>
    <row r="799" ht="15.75" customHeight="1">
      <c r="E799" s="24"/>
      <c r="J799" s="24"/>
      <c r="V799" s="39"/>
      <c r="W799" s="39"/>
      <c r="X799" s="24"/>
    </row>
    <row r="800" ht="15.75" customHeight="1">
      <c r="E800" s="24"/>
      <c r="J800" s="24"/>
      <c r="V800" s="39"/>
      <c r="W800" s="39"/>
      <c r="X800" s="24"/>
    </row>
    <row r="801" ht="15.75" customHeight="1">
      <c r="E801" s="24"/>
      <c r="J801" s="24"/>
      <c r="V801" s="39"/>
      <c r="W801" s="39"/>
      <c r="X801" s="24"/>
    </row>
    <row r="802" ht="15.75" customHeight="1">
      <c r="E802" s="24"/>
      <c r="J802" s="24"/>
      <c r="V802" s="39"/>
      <c r="W802" s="39"/>
      <c r="X802" s="24"/>
    </row>
    <row r="803" ht="15.75" customHeight="1">
      <c r="E803" s="24"/>
      <c r="J803" s="24"/>
      <c r="V803" s="39"/>
      <c r="W803" s="39"/>
      <c r="X803" s="24"/>
    </row>
    <row r="804" ht="15.75" customHeight="1">
      <c r="E804" s="24"/>
      <c r="J804" s="24"/>
      <c r="V804" s="39"/>
      <c r="W804" s="39"/>
      <c r="X804" s="24"/>
    </row>
    <row r="805" ht="15.75" customHeight="1">
      <c r="E805" s="24"/>
      <c r="J805" s="24"/>
      <c r="V805" s="39"/>
      <c r="W805" s="39"/>
      <c r="X805" s="24"/>
    </row>
    <row r="806" ht="15.75" customHeight="1">
      <c r="E806" s="24"/>
      <c r="J806" s="24"/>
      <c r="V806" s="39"/>
      <c r="W806" s="39"/>
      <c r="X806" s="24"/>
    </row>
    <row r="807" ht="15.75" customHeight="1">
      <c r="E807" s="24"/>
      <c r="J807" s="24"/>
      <c r="V807" s="39"/>
      <c r="W807" s="39"/>
      <c r="X807" s="24"/>
    </row>
    <row r="808" ht="15.75" customHeight="1">
      <c r="E808" s="24"/>
      <c r="J808" s="24"/>
      <c r="V808" s="39"/>
      <c r="W808" s="39"/>
      <c r="X808" s="24"/>
    </row>
    <row r="809" ht="15.75" customHeight="1">
      <c r="E809" s="24"/>
      <c r="J809" s="24"/>
      <c r="V809" s="39"/>
      <c r="W809" s="39"/>
      <c r="X809" s="24"/>
    </row>
    <row r="810" ht="15.75" customHeight="1">
      <c r="E810" s="24"/>
      <c r="J810" s="24"/>
      <c r="V810" s="39"/>
      <c r="W810" s="39"/>
      <c r="X810" s="24"/>
    </row>
    <row r="811" ht="15.75" customHeight="1">
      <c r="E811" s="24"/>
      <c r="J811" s="24"/>
      <c r="V811" s="39"/>
      <c r="W811" s="39"/>
      <c r="X811" s="24"/>
    </row>
    <row r="812" ht="15.75" customHeight="1">
      <c r="E812" s="24"/>
      <c r="J812" s="24"/>
      <c r="V812" s="39"/>
      <c r="W812" s="39"/>
      <c r="X812" s="24"/>
    </row>
    <row r="813" ht="15.75" customHeight="1">
      <c r="E813" s="24"/>
      <c r="J813" s="24"/>
      <c r="V813" s="39"/>
      <c r="W813" s="39"/>
      <c r="X813" s="24"/>
    </row>
    <row r="814" ht="15.75" customHeight="1">
      <c r="E814" s="24"/>
      <c r="J814" s="24"/>
      <c r="V814" s="39"/>
      <c r="W814" s="39"/>
      <c r="X814" s="24"/>
    </row>
    <row r="815" ht="15.75" customHeight="1">
      <c r="E815" s="24"/>
      <c r="J815" s="24"/>
      <c r="V815" s="39"/>
      <c r="W815" s="39"/>
      <c r="X815" s="24"/>
    </row>
    <row r="816" ht="15.75" customHeight="1">
      <c r="E816" s="24"/>
      <c r="J816" s="24"/>
      <c r="V816" s="39"/>
      <c r="W816" s="39"/>
      <c r="X816" s="24"/>
    </row>
    <row r="817" ht="15.75" customHeight="1">
      <c r="E817" s="24"/>
      <c r="J817" s="24"/>
      <c r="V817" s="39"/>
      <c r="W817" s="39"/>
      <c r="X817" s="24"/>
    </row>
    <row r="818" ht="15.75" customHeight="1">
      <c r="E818" s="24"/>
      <c r="J818" s="24"/>
      <c r="V818" s="39"/>
      <c r="W818" s="39"/>
      <c r="X818" s="24"/>
    </row>
    <row r="819" ht="15.75" customHeight="1">
      <c r="E819" s="24"/>
      <c r="J819" s="24"/>
      <c r="V819" s="39"/>
      <c r="W819" s="39"/>
      <c r="X819" s="24"/>
    </row>
    <row r="820" ht="15.75" customHeight="1">
      <c r="E820" s="24"/>
      <c r="J820" s="24"/>
      <c r="V820" s="39"/>
      <c r="W820" s="39"/>
      <c r="X820" s="24"/>
    </row>
    <row r="821" ht="15.75" customHeight="1">
      <c r="E821" s="24"/>
      <c r="J821" s="24"/>
      <c r="V821" s="39"/>
      <c r="W821" s="39"/>
      <c r="X821" s="24"/>
    </row>
    <row r="822" ht="15.75" customHeight="1">
      <c r="E822" s="24"/>
      <c r="J822" s="24"/>
      <c r="V822" s="39"/>
      <c r="W822" s="39"/>
      <c r="X822" s="24"/>
    </row>
    <row r="823" ht="15.75" customHeight="1">
      <c r="E823" s="24"/>
      <c r="J823" s="24"/>
      <c r="V823" s="39"/>
      <c r="W823" s="39"/>
      <c r="X823" s="24"/>
    </row>
    <row r="824" ht="15.75" customHeight="1">
      <c r="E824" s="24"/>
      <c r="J824" s="24"/>
      <c r="V824" s="39"/>
      <c r="W824" s="39"/>
      <c r="X824" s="24"/>
    </row>
    <row r="825" ht="15.75" customHeight="1">
      <c r="E825" s="24"/>
      <c r="J825" s="24"/>
      <c r="V825" s="39"/>
      <c r="W825" s="39"/>
      <c r="X825" s="24"/>
    </row>
    <row r="826" ht="15.75" customHeight="1">
      <c r="E826" s="24"/>
      <c r="J826" s="24"/>
      <c r="V826" s="39"/>
      <c r="W826" s="39"/>
      <c r="X826" s="24"/>
    </row>
    <row r="827" ht="15.75" customHeight="1">
      <c r="E827" s="24"/>
      <c r="J827" s="24"/>
      <c r="V827" s="39"/>
      <c r="W827" s="39"/>
      <c r="X827" s="24"/>
    </row>
    <row r="828" ht="15.75" customHeight="1">
      <c r="E828" s="24"/>
      <c r="J828" s="24"/>
      <c r="V828" s="39"/>
      <c r="W828" s="39"/>
      <c r="X828" s="24"/>
    </row>
    <row r="829" ht="15.75" customHeight="1">
      <c r="E829" s="24"/>
      <c r="J829" s="24"/>
      <c r="V829" s="39"/>
      <c r="W829" s="39"/>
      <c r="X829" s="24"/>
    </row>
    <row r="830" ht="15.75" customHeight="1">
      <c r="E830" s="24"/>
      <c r="J830" s="24"/>
      <c r="V830" s="39"/>
      <c r="W830" s="39"/>
      <c r="X830" s="24"/>
    </row>
    <row r="831" ht="15.75" customHeight="1">
      <c r="E831" s="24"/>
      <c r="J831" s="24"/>
      <c r="V831" s="39"/>
      <c r="W831" s="39"/>
      <c r="X831" s="24"/>
    </row>
    <row r="832" ht="15.75" customHeight="1">
      <c r="E832" s="24"/>
      <c r="J832" s="24"/>
      <c r="V832" s="39"/>
      <c r="W832" s="39"/>
      <c r="X832" s="24"/>
    </row>
    <row r="833" ht="15.75" customHeight="1">
      <c r="E833" s="24"/>
      <c r="J833" s="24"/>
      <c r="V833" s="39"/>
      <c r="W833" s="39"/>
      <c r="X833" s="24"/>
    </row>
    <row r="834" ht="15.75" customHeight="1">
      <c r="E834" s="24"/>
      <c r="J834" s="24"/>
      <c r="V834" s="39"/>
      <c r="W834" s="39"/>
      <c r="X834" s="24"/>
    </row>
    <row r="835" ht="15.75" customHeight="1">
      <c r="E835" s="24"/>
      <c r="J835" s="24"/>
      <c r="V835" s="39"/>
      <c r="W835" s="39"/>
      <c r="X835" s="24"/>
    </row>
    <row r="836" ht="15.75" customHeight="1">
      <c r="E836" s="24"/>
      <c r="J836" s="24"/>
      <c r="V836" s="39"/>
      <c r="W836" s="39"/>
      <c r="X836" s="24"/>
    </row>
    <row r="837" ht="15.75" customHeight="1">
      <c r="E837" s="24"/>
      <c r="J837" s="24"/>
      <c r="V837" s="39"/>
      <c r="W837" s="39"/>
      <c r="X837" s="24"/>
    </row>
    <row r="838" ht="15.75" customHeight="1">
      <c r="E838" s="24"/>
      <c r="J838" s="24"/>
      <c r="V838" s="39"/>
      <c r="W838" s="39"/>
      <c r="X838" s="24"/>
    </row>
    <row r="839" ht="15.75" customHeight="1">
      <c r="E839" s="24"/>
      <c r="J839" s="24"/>
      <c r="V839" s="39"/>
      <c r="W839" s="39"/>
      <c r="X839" s="24"/>
    </row>
    <row r="840" ht="15.75" customHeight="1">
      <c r="E840" s="24"/>
      <c r="J840" s="24"/>
      <c r="V840" s="39"/>
      <c r="W840" s="39"/>
      <c r="X840" s="24"/>
    </row>
    <row r="841" ht="15.75" customHeight="1">
      <c r="E841" s="24"/>
      <c r="J841" s="24"/>
      <c r="V841" s="39"/>
      <c r="W841" s="39"/>
      <c r="X841" s="24"/>
    </row>
    <row r="842" ht="15.75" customHeight="1">
      <c r="E842" s="24"/>
      <c r="J842" s="24"/>
      <c r="V842" s="39"/>
      <c r="W842" s="39"/>
      <c r="X842" s="24"/>
    </row>
    <row r="843" ht="15.75" customHeight="1">
      <c r="E843" s="24"/>
      <c r="J843" s="24"/>
      <c r="V843" s="39"/>
      <c r="W843" s="39"/>
      <c r="X843" s="24"/>
    </row>
    <row r="844" ht="15.75" customHeight="1">
      <c r="E844" s="24"/>
      <c r="J844" s="24"/>
      <c r="V844" s="39"/>
      <c r="W844" s="39"/>
      <c r="X844" s="24"/>
    </row>
    <row r="845" ht="15.75" customHeight="1">
      <c r="E845" s="24"/>
      <c r="J845" s="24"/>
      <c r="V845" s="39"/>
      <c r="W845" s="39"/>
      <c r="X845" s="24"/>
    </row>
    <row r="846" ht="15.75" customHeight="1">
      <c r="E846" s="24"/>
      <c r="J846" s="24"/>
      <c r="V846" s="39"/>
      <c r="W846" s="39"/>
      <c r="X846" s="24"/>
    </row>
    <row r="847" ht="15.75" customHeight="1">
      <c r="E847" s="24"/>
      <c r="J847" s="24"/>
      <c r="V847" s="39"/>
      <c r="W847" s="39"/>
      <c r="X847" s="24"/>
    </row>
    <row r="848" ht="15.75" customHeight="1">
      <c r="E848" s="24"/>
      <c r="J848" s="24"/>
      <c r="V848" s="39"/>
      <c r="W848" s="39"/>
      <c r="X848" s="24"/>
    </row>
    <row r="849" ht="15.75" customHeight="1">
      <c r="E849" s="24"/>
      <c r="J849" s="24"/>
      <c r="V849" s="39"/>
      <c r="W849" s="39"/>
      <c r="X849" s="24"/>
    </row>
    <row r="850" ht="15.75" customHeight="1">
      <c r="E850" s="24"/>
      <c r="J850" s="24"/>
      <c r="V850" s="39"/>
      <c r="W850" s="39"/>
      <c r="X850" s="24"/>
    </row>
    <row r="851" ht="15.75" customHeight="1">
      <c r="E851" s="24"/>
      <c r="J851" s="24"/>
      <c r="V851" s="39"/>
      <c r="W851" s="39"/>
      <c r="X851" s="24"/>
    </row>
    <row r="852" ht="15.75" customHeight="1">
      <c r="E852" s="24"/>
      <c r="J852" s="24"/>
      <c r="V852" s="39"/>
      <c r="W852" s="39"/>
      <c r="X852" s="24"/>
    </row>
    <row r="853" ht="15.75" customHeight="1">
      <c r="E853" s="24"/>
      <c r="J853" s="24"/>
      <c r="V853" s="39"/>
      <c r="W853" s="39"/>
      <c r="X853" s="24"/>
    </row>
    <row r="854" ht="15.75" customHeight="1">
      <c r="E854" s="24"/>
      <c r="J854" s="24"/>
      <c r="V854" s="39"/>
      <c r="W854" s="39"/>
      <c r="X854" s="24"/>
    </row>
    <row r="855" ht="15.75" customHeight="1">
      <c r="E855" s="24"/>
      <c r="J855" s="24"/>
      <c r="V855" s="39"/>
      <c r="W855" s="39"/>
      <c r="X855" s="24"/>
    </row>
    <row r="856" ht="15.75" customHeight="1">
      <c r="E856" s="24"/>
      <c r="J856" s="24"/>
      <c r="V856" s="39"/>
      <c r="W856" s="39"/>
      <c r="X856" s="24"/>
    </row>
    <row r="857" ht="15.75" customHeight="1">
      <c r="E857" s="24"/>
      <c r="J857" s="24"/>
      <c r="V857" s="39"/>
      <c r="W857" s="39"/>
      <c r="X857" s="24"/>
    </row>
    <row r="858" ht="15.75" customHeight="1">
      <c r="E858" s="24"/>
      <c r="J858" s="24"/>
      <c r="V858" s="39"/>
      <c r="W858" s="39"/>
      <c r="X858" s="24"/>
    </row>
    <row r="859" ht="15.75" customHeight="1">
      <c r="E859" s="24"/>
      <c r="J859" s="24"/>
      <c r="V859" s="39"/>
      <c r="W859" s="39"/>
      <c r="X859" s="24"/>
    </row>
    <row r="860" ht="15.75" customHeight="1">
      <c r="E860" s="24"/>
      <c r="J860" s="24"/>
      <c r="V860" s="39"/>
      <c r="W860" s="39"/>
      <c r="X860" s="24"/>
    </row>
    <row r="861" ht="15.75" customHeight="1">
      <c r="E861" s="24"/>
      <c r="J861" s="24"/>
      <c r="V861" s="39"/>
      <c r="W861" s="39"/>
      <c r="X861" s="24"/>
    </row>
    <row r="862" ht="15.75" customHeight="1">
      <c r="E862" s="24"/>
      <c r="J862" s="24"/>
      <c r="V862" s="39"/>
      <c r="W862" s="39"/>
      <c r="X862" s="24"/>
    </row>
    <row r="863" ht="15.75" customHeight="1">
      <c r="E863" s="24"/>
      <c r="J863" s="24"/>
      <c r="V863" s="39"/>
      <c r="W863" s="39"/>
      <c r="X863" s="24"/>
    </row>
    <row r="864" ht="15.75" customHeight="1">
      <c r="E864" s="24"/>
      <c r="J864" s="24"/>
      <c r="V864" s="39"/>
      <c r="W864" s="39"/>
      <c r="X864" s="24"/>
    </row>
    <row r="865" ht="15.75" customHeight="1">
      <c r="E865" s="24"/>
      <c r="J865" s="24"/>
      <c r="V865" s="39"/>
      <c r="W865" s="39"/>
      <c r="X865" s="24"/>
    </row>
    <row r="866" ht="15.75" customHeight="1">
      <c r="E866" s="24"/>
      <c r="J866" s="24"/>
      <c r="V866" s="39"/>
      <c r="W866" s="39"/>
      <c r="X866" s="24"/>
    </row>
    <row r="867" ht="15.75" customHeight="1">
      <c r="E867" s="24"/>
      <c r="J867" s="24"/>
      <c r="V867" s="39"/>
      <c r="W867" s="39"/>
      <c r="X867" s="24"/>
    </row>
    <row r="868" ht="15.75" customHeight="1">
      <c r="E868" s="24"/>
      <c r="J868" s="24"/>
      <c r="V868" s="39"/>
      <c r="W868" s="39"/>
      <c r="X868" s="24"/>
    </row>
    <row r="869" ht="15.75" customHeight="1">
      <c r="E869" s="24"/>
      <c r="J869" s="24"/>
      <c r="V869" s="39"/>
      <c r="W869" s="39"/>
      <c r="X869" s="24"/>
    </row>
    <row r="870" ht="15.75" customHeight="1">
      <c r="E870" s="24"/>
      <c r="J870" s="24"/>
      <c r="V870" s="39"/>
      <c r="W870" s="39"/>
      <c r="X870" s="24"/>
    </row>
    <row r="871" ht="15.75" customHeight="1">
      <c r="E871" s="24"/>
      <c r="J871" s="24"/>
      <c r="V871" s="39"/>
      <c r="W871" s="39"/>
      <c r="X871" s="24"/>
    </row>
    <row r="872" ht="15.75" customHeight="1">
      <c r="E872" s="24"/>
      <c r="J872" s="24"/>
      <c r="V872" s="39"/>
      <c r="W872" s="39"/>
      <c r="X872" s="24"/>
    </row>
    <row r="873" ht="15.75" customHeight="1">
      <c r="E873" s="24"/>
      <c r="J873" s="24"/>
      <c r="V873" s="39"/>
      <c r="W873" s="39"/>
      <c r="X873" s="24"/>
    </row>
    <row r="874" ht="15.75" customHeight="1">
      <c r="E874" s="24"/>
      <c r="J874" s="24"/>
      <c r="V874" s="39"/>
      <c r="W874" s="39"/>
      <c r="X874" s="24"/>
    </row>
    <row r="875" ht="15.75" customHeight="1">
      <c r="E875" s="24"/>
      <c r="J875" s="24"/>
      <c r="V875" s="39"/>
      <c r="W875" s="39"/>
      <c r="X875" s="24"/>
    </row>
    <row r="876" ht="15.75" customHeight="1">
      <c r="E876" s="24"/>
      <c r="J876" s="24"/>
      <c r="V876" s="39"/>
      <c r="W876" s="39"/>
      <c r="X876" s="24"/>
    </row>
    <row r="877" ht="15.75" customHeight="1">
      <c r="E877" s="24"/>
      <c r="J877" s="24"/>
      <c r="V877" s="39"/>
      <c r="W877" s="39"/>
      <c r="X877" s="24"/>
    </row>
    <row r="878" ht="15.75" customHeight="1">
      <c r="E878" s="24"/>
      <c r="J878" s="24"/>
      <c r="V878" s="39"/>
      <c r="W878" s="39"/>
      <c r="X878" s="24"/>
    </row>
    <row r="879" ht="15.75" customHeight="1">
      <c r="E879" s="24"/>
      <c r="J879" s="24"/>
      <c r="V879" s="39"/>
      <c r="W879" s="39"/>
      <c r="X879" s="24"/>
    </row>
    <row r="880" ht="15.75" customHeight="1">
      <c r="E880" s="24"/>
      <c r="J880" s="24"/>
      <c r="V880" s="39"/>
      <c r="W880" s="39"/>
      <c r="X880" s="24"/>
    </row>
    <row r="881" ht="15.75" customHeight="1">
      <c r="E881" s="24"/>
      <c r="J881" s="24"/>
      <c r="V881" s="39"/>
      <c r="W881" s="39"/>
      <c r="X881" s="24"/>
    </row>
    <row r="882" ht="15.75" customHeight="1">
      <c r="E882" s="24"/>
      <c r="J882" s="24"/>
      <c r="V882" s="39"/>
      <c r="W882" s="39"/>
      <c r="X882" s="24"/>
    </row>
    <row r="883" ht="15.75" customHeight="1">
      <c r="E883" s="24"/>
      <c r="J883" s="24"/>
      <c r="V883" s="39"/>
      <c r="W883" s="39"/>
      <c r="X883" s="24"/>
    </row>
    <row r="884" ht="15.75" customHeight="1">
      <c r="E884" s="24"/>
      <c r="J884" s="24"/>
      <c r="V884" s="39"/>
      <c r="W884" s="39"/>
      <c r="X884" s="24"/>
    </row>
    <row r="885" ht="15.75" customHeight="1">
      <c r="E885" s="24"/>
      <c r="J885" s="24"/>
      <c r="V885" s="39"/>
      <c r="W885" s="39"/>
      <c r="X885" s="24"/>
    </row>
    <row r="886" ht="15.75" customHeight="1">
      <c r="E886" s="24"/>
      <c r="J886" s="24"/>
      <c r="V886" s="39"/>
      <c r="W886" s="39"/>
      <c r="X886" s="24"/>
    </row>
    <row r="887" ht="15.75" customHeight="1">
      <c r="E887" s="24"/>
      <c r="J887" s="24"/>
      <c r="V887" s="39"/>
      <c r="W887" s="39"/>
      <c r="X887" s="24"/>
    </row>
    <row r="888" ht="15.75" customHeight="1">
      <c r="E888" s="24"/>
      <c r="J888" s="24"/>
      <c r="V888" s="39"/>
      <c r="W888" s="39"/>
      <c r="X888" s="24"/>
    </row>
    <row r="889" ht="15.75" customHeight="1">
      <c r="E889" s="24"/>
      <c r="J889" s="24"/>
      <c r="V889" s="39"/>
      <c r="W889" s="39"/>
      <c r="X889" s="24"/>
    </row>
    <row r="890" ht="15.75" customHeight="1">
      <c r="E890" s="24"/>
      <c r="J890" s="24"/>
      <c r="V890" s="39"/>
      <c r="W890" s="39"/>
      <c r="X890" s="24"/>
    </row>
    <row r="891" ht="15.75" customHeight="1">
      <c r="E891" s="24"/>
      <c r="J891" s="24"/>
      <c r="V891" s="39"/>
      <c r="W891" s="39"/>
      <c r="X891" s="24"/>
    </row>
    <row r="892" ht="15.75" customHeight="1">
      <c r="E892" s="24"/>
      <c r="J892" s="24"/>
      <c r="V892" s="39"/>
      <c r="W892" s="39"/>
      <c r="X892" s="24"/>
    </row>
    <row r="893" ht="15.75" customHeight="1">
      <c r="E893" s="24"/>
      <c r="J893" s="24"/>
      <c r="V893" s="39"/>
      <c r="W893" s="39"/>
      <c r="X893" s="24"/>
    </row>
    <row r="894" ht="15.75" customHeight="1">
      <c r="E894" s="24"/>
      <c r="J894" s="24"/>
      <c r="V894" s="39"/>
      <c r="W894" s="39"/>
      <c r="X894" s="24"/>
    </row>
    <row r="895" ht="15.75" customHeight="1">
      <c r="E895" s="24"/>
      <c r="J895" s="24"/>
      <c r="V895" s="39"/>
      <c r="W895" s="39"/>
      <c r="X895" s="24"/>
    </row>
    <row r="896" ht="15.75" customHeight="1">
      <c r="E896" s="24"/>
      <c r="J896" s="24"/>
      <c r="V896" s="39"/>
      <c r="W896" s="39"/>
      <c r="X896" s="24"/>
    </row>
    <row r="897" ht="15.75" customHeight="1">
      <c r="E897" s="24"/>
      <c r="J897" s="24"/>
      <c r="V897" s="39"/>
      <c r="W897" s="39"/>
      <c r="X897" s="24"/>
    </row>
    <row r="898" ht="15.75" customHeight="1">
      <c r="E898" s="24"/>
      <c r="J898" s="24"/>
      <c r="V898" s="39"/>
      <c r="W898" s="39"/>
      <c r="X898" s="24"/>
    </row>
    <row r="899" ht="15.75" customHeight="1">
      <c r="E899" s="24"/>
      <c r="J899" s="24"/>
      <c r="V899" s="39"/>
      <c r="W899" s="39"/>
      <c r="X899" s="24"/>
    </row>
    <row r="900" ht="15.75" customHeight="1">
      <c r="E900" s="24"/>
      <c r="J900" s="24"/>
      <c r="V900" s="39"/>
      <c r="W900" s="39"/>
      <c r="X900" s="24"/>
    </row>
    <row r="901" ht="15.75" customHeight="1">
      <c r="E901" s="24"/>
      <c r="J901" s="24"/>
      <c r="V901" s="39"/>
      <c r="W901" s="39"/>
      <c r="X901" s="24"/>
    </row>
    <row r="902" ht="15.75" customHeight="1">
      <c r="E902" s="24"/>
      <c r="J902" s="24"/>
      <c r="V902" s="39"/>
      <c r="W902" s="39"/>
      <c r="X902" s="24"/>
    </row>
    <row r="903" ht="15.75" customHeight="1">
      <c r="E903" s="24"/>
      <c r="J903" s="24"/>
      <c r="V903" s="39"/>
      <c r="W903" s="39"/>
      <c r="X903" s="24"/>
    </row>
    <row r="904" ht="15.75" customHeight="1">
      <c r="E904" s="24"/>
      <c r="J904" s="24"/>
      <c r="V904" s="39"/>
      <c r="W904" s="39"/>
      <c r="X904" s="24"/>
    </row>
    <row r="905" ht="15.75" customHeight="1">
      <c r="E905" s="24"/>
      <c r="J905" s="24"/>
      <c r="V905" s="39"/>
      <c r="W905" s="39"/>
      <c r="X905" s="24"/>
    </row>
    <row r="906" ht="15.75" customHeight="1">
      <c r="E906" s="24"/>
      <c r="J906" s="24"/>
      <c r="V906" s="39"/>
      <c r="W906" s="39"/>
      <c r="X906" s="24"/>
    </row>
    <row r="907" ht="15.75" customHeight="1">
      <c r="E907" s="24"/>
      <c r="J907" s="24"/>
      <c r="V907" s="39"/>
      <c r="W907" s="39"/>
      <c r="X907" s="24"/>
    </row>
    <row r="908" ht="15.75" customHeight="1">
      <c r="E908" s="24"/>
      <c r="J908" s="24"/>
      <c r="V908" s="39"/>
      <c r="W908" s="39"/>
      <c r="X908" s="24"/>
    </row>
    <row r="909" ht="15.75" customHeight="1">
      <c r="E909" s="24"/>
      <c r="J909" s="24"/>
      <c r="V909" s="39"/>
      <c r="W909" s="39"/>
      <c r="X909" s="24"/>
    </row>
    <row r="910" ht="15.75" customHeight="1">
      <c r="E910" s="24"/>
      <c r="J910" s="24"/>
      <c r="V910" s="39"/>
      <c r="W910" s="39"/>
      <c r="X910" s="24"/>
    </row>
    <row r="911" ht="15.75" customHeight="1">
      <c r="E911" s="24"/>
      <c r="J911" s="24"/>
      <c r="V911" s="39"/>
      <c r="W911" s="39"/>
      <c r="X911" s="24"/>
    </row>
    <row r="912" ht="15.75" customHeight="1">
      <c r="E912" s="24"/>
      <c r="J912" s="24"/>
      <c r="V912" s="39"/>
      <c r="W912" s="39"/>
      <c r="X912" s="24"/>
    </row>
    <row r="913" ht="15.75" customHeight="1">
      <c r="E913" s="24"/>
      <c r="J913" s="24"/>
      <c r="V913" s="39"/>
      <c r="W913" s="39"/>
      <c r="X913" s="24"/>
    </row>
    <row r="914" ht="15.75" customHeight="1">
      <c r="E914" s="24"/>
      <c r="J914" s="24"/>
      <c r="V914" s="39"/>
      <c r="W914" s="39"/>
      <c r="X914" s="24"/>
    </row>
    <row r="915" ht="15.75" customHeight="1">
      <c r="E915" s="24"/>
      <c r="J915" s="24"/>
      <c r="V915" s="39"/>
      <c r="W915" s="39"/>
      <c r="X915" s="24"/>
    </row>
    <row r="916" ht="15.75" customHeight="1">
      <c r="E916" s="24"/>
      <c r="J916" s="24"/>
      <c r="V916" s="39"/>
      <c r="W916" s="39"/>
      <c r="X916" s="24"/>
    </row>
    <row r="917" ht="15.75" customHeight="1">
      <c r="E917" s="24"/>
      <c r="J917" s="24"/>
      <c r="V917" s="39"/>
      <c r="W917" s="39"/>
      <c r="X917" s="24"/>
    </row>
    <row r="918" ht="15.75" customHeight="1">
      <c r="E918" s="24"/>
      <c r="J918" s="24"/>
      <c r="V918" s="39"/>
      <c r="W918" s="39"/>
      <c r="X918" s="24"/>
    </row>
    <row r="919" ht="15.75" customHeight="1">
      <c r="E919" s="24"/>
      <c r="J919" s="24"/>
      <c r="V919" s="39"/>
      <c r="W919" s="39"/>
      <c r="X919" s="24"/>
    </row>
    <row r="920" ht="15.75" customHeight="1">
      <c r="E920" s="24"/>
      <c r="J920" s="24"/>
      <c r="V920" s="39"/>
      <c r="W920" s="39"/>
      <c r="X920" s="24"/>
    </row>
    <row r="921" ht="15.75" customHeight="1">
      <c r="E921" s="24"/>
      <c r="J921" s="24"/>
      <c r="V921" s="39"/>
      <c r="W921" s="39"/>
      <c r="X921" s="24"/>
    </row>
    <row r="922" ht="15.75" customHeight="1">
      <c r="E922" s="24"/>
      <c r="J922" s="24"/>
      <c r="V922" s="39"/>
      <c r="W922" s="39"/>
      <c r="X922" s="24"/>
    </row>
    <row r="923" ht="15.75" customHeight="1">
      <c r="E923" s="24"/>
      <c r="J923" s="24"/>
      <c r="V923" s="39"/>
      <c r="W923" s="39"/>
      <c r="X923" s="24"/>
    </row>
    <row r="924" ht="15.75" customHeight="1">
      <c r="E924" s="24"/>
      <c r="J924" s="24"/>
      <c r="V924" s="39"/>
      <c r="W924" s="39"/>
      <c r="X924" s="24"/>
    </row>
    <row r="925" ht="15.75" customHeight="1">
      <c r="E925" s="24"/>
      <c r="J925" s="24"/>
      <c r="V925" s="39"/>
      <c r="W925" s="39"/>
      <c r="X925" s="24"/>
    </row>
    <row r="926" ht="15.75" customHeight="1">
      <c r="E926" s="24"/>
      <c r="J926" s="24"/>
      <c r="V926" s="39"/>
      <c r="W926" s="39"/>
      <c r="X926" s="24"/>
    </row>
    <row r="927" ht="15.75" customHeight="1">
      <c r="E927" s="24"/>
      <c r="J927" s="24"/>
      <c r="V927" s="39"/>
      <c r="W927" s="39"/>
      <c r="X927" s="24"/>
    </row>
    <row r="928" ht="15.75" customHeight="1">
      <c r="E928" s="24"/>
      <c r="J928" s="24"/>
      <c r="V928" s="39"/>
      <c r="W928" s="39"/>
      <c r="X928" s="24"/>
    </row>
    <row r="929" ht="15.75" customHeight="1">
      <c r="E929" s="24"/>
      <c r="J929" s="24"/>
      <c r="V929" s="39"/>
      <c r="W929" s="39"/>
      <c r="X929" s="24"/>
    </row>
    <row r="930" ht="15.75" customHeight="1">
      <c r="E930" s="24"/>
      <c r="J930" s="24"/>
      <c r="V930" s="39"/>
      <c r="W930" s="39"/>
      <c r="X930" s="24"/>
    </row>
    <row r="931" ht="15.75" customHeight="1">
      <c r="E931" s="24"/>
      <c r="J931" s="24"/>
      <c r="V931" s="39"/>
      <c r="W931" s="39"/>
      <c r="X931" s="24"/>
    </row>
    <row r="932" ht="15.75" customHeight="1">
      <c r="E932" s="24"/>
      <c r="J932" s="24"/>
      <c r="V932" s="39"/>
      <c r="W932" s="39"/>
      <c r="X932" s="24"/>
    </row>
    <row r="933" ht="15.75" customHeight="1">
      <c r="E933" s="24"/>
      <c r="J933" s="24"/>
      <c r="V933" s="39"/>
      <c r="W933" s="39"/>
      <c r="X933" s="24"/>
    </row>
    <row r="934" ht="15.75" customHeight="1">
      <c r="E934" s="24"/>
      <c r="J934" s="24"/>
      <c r="V934" s="39"/>
      <c r="W934" s="39"/>
      <c r="X934" s="24"/>
    </row>
    <row r="935" ht="15.75" customHeight="1">
      <c r="E935" s="24"/>
      <c r="J935" s="24"/>
      <c r="V935" s="39"/>
      <c r="W935" s="39"/>
      <c r="X935" s="24"/>
    </row>
    <row r="936" ht="15.75" customHeight="1">
      <c r="E936" s="24"/>
      <c r="J936" s="24"/>
      <c r="V936" s="39"/>
      <c r="W936" s="39"/>
      <c r="X936" s="24"/>
    </row>
    <row r="937" ht="15.75" customHeight="1">
      <c r="E937" s="24"/>
      <c r="J937" s="24"/>
      <c r="V937" s="39"/>
      <c r="W937" s="39"/>
      <c r="X937" s="24"/>
    </row>
    <row r="938" ht="15.75" customHeight="1">
      <c r="E938" s="24"/>
      <c r="J938" s="24"/>
      <c r="V938" s="39"/>
      <c r="W938" s="39"/>
      <c r="X938" s="24"/>
    </row>
    <row r="939" ht="15.75" customHeight="1">
      <c r="E939" s="24"/>
      <c r="J939" s="24"/>
      <c r="V939" s="39"/>
      <c r="W939" s="39"/>
      <c r="X939" s="24"/>
    </row>
    <row r="940" ht="15.75" customHeight="1">
      <c r="E940" s="24"/>
      <c r="J940" s="24"/>
      <c r="V940" s="39"/>
      <c r="W940" s="39"/>
      <c r="X940" s="24"/>
    </row>
    <row r="941" ht="15.75" customHeight="1">
      <c r="E941" s="24"/>
      <c r="J941" s="24"/>
      <c r="V941" s="39"/>
      <c r="W941" s="39"/>
      <c r="X941" s="24"/>
    </row>
    <row r="942" ht="15.75" customHeight="1">
      <c r="E942" s="24"/>
      <c r="J942" s="24"/>
      <c r="V942" s="39"/>
      <c r="W942" s="39"/>
      <c r="X942" s="24"/>
    </row>
    <row r="943" ht="15.75" customHeight="1">
      <c r="E943" s="24"/>
      <c r="J943" s="24"/>
      <c r="V943" s="39"/>
      <c r="W943" s="39"/>
      <c r="X943" s="24"/>
    </row>
    <row r="944" ht="15.75" customHeight="1">
      <c r="E944" s="24"/>
      <c r="J944" s="24"/>
      <c r="V944" s="39"/>
      <c r="W944" s="39"/>
      <c r="X944" s="24"/>
    </row>
    <row r="945" ht="15.75" customHeight="1">
      <c r="E945" s="24"/>
      <c r="J945" s="24"/>
      <c r="V945" s="39"/>
      <c r="W945" s="39"/>
      <c r="X945" s="24"/>
    </row>
    <row r="946" ht="15.75" customHeight="1">
      <c r="E946" s="24"/>
      <c r="J946" s="24"/>
      <c r="V946" s="39"/>
      <c r="W946" s="39"/>
      <c r="X946" s="24"/>
    </row>
    <row r="947" ht="15.75" customHeight="1">
      <c r="E947" s="24"/>
      <c r="J947" s="24"/>
      <c r="V947" s="39"/>
      <c r="W947" s="39"/>
      <c r="X947" s="24"/>
    </row>
    <row r="948" ht="15.75" customHeight="1">
      <c r="E948" s="24"/>
      <c r="J948" s="24"/>
      <c r="V948" s="39"/>
      <c r="W948" s="39"/>
      <c r="X948" s="24"/>
    </row>
    <row r="949" ht="15.75" customHeight="1">
      <c r="E949" s="24"/>
      <c r="J949" s="24"/>
      <c r="V949" s="39"/>
      <c r="W949" s="39"/>
      <c r="X949" s="24"/>
    </row>
    <row r="950" ht="15.75" customHeight="1">
      <c r="E950" s="24"/>
      <c r="J950" s="24"/>
      <c r="V950" s="39"/>
      <c r="W950" s="39"/>
      <c r="X950" s="24"/>
    </row>
    <row r="951" ht="15.75" customHeight="1">
      <c r="E951" s="24"/>
      <c r="J951" s="24"/>
      <c r="V951" s="39"/>
      <c r="W951" s="39"/>
      <c r="X951" s="24"/>
    </row>
    <row r="952" ht="15.75" customHeight="1">
      <c r="E952" s="24"/>
      <c r="J952" s="24"/>
      <c r="V952" s="39"/>
      <c r="W952" s="39"/>
      <c r="X952" s="24"/>
    </row>
    <row r="953" ht="15.75" customHeight="1">
      <c r="E953" s="24"/>
      <c r="J953" s="24"/>
      <c r="V953" s="39"/>
      <c r="W953" s="39"/>
      <c r="X953" s="24"/>
    </row>
    <row r="954" ht="15.75" customHeight="1">
      <c r="E954" s="24"/>
      <c r="J954" s="24"/>
      <c r="V954" s="39"/>
      <c r="W954" s="39"/>
      <c r="X954" s="24"/>
    </row>
    <row r="955" ht="15.75" customHeight="1">
      <c r="E955" s="24"/>
      <c r="J955" s="24"/>
      <c r="V955" s="39"/>
      <c r="W955" s="39"/>
      <c r="X955" s="24"/>
    </row>
    <row r="956" ht="15.75" customHeight="1">
      <c r="E956" s="24"/>
      <c r="J956" s="24"/>
      <c r="V956" s="39"/>
      <c r="W956" s="39"/>
      <c r="X956" s="24"/>
    </row>
    <row r="957" ht="15.75" customHeight="1">
      <c r="E957" s="24"/>
      <c r="J957" s="24"/>
      <c r="V957" s="39"/>
      <c r="W957" s="39"/>
      <c r="X957" s="24"/>
    </row>
    <row r="958" ht="15.75" customHeight="1">
      <c r="E958" s="24"/>
      <c r="J958" s="24"/>
      <c r="V958" s="39"/>
      <c r="W958" s="39"/>
      <c r="X958" s="24"/>
    </row>
    <row r="959" ht="15.75" customHeight="1">
      <c r="E959" s="24"/>
      <c r="J959" s="24"/>
      <c r="V959" s="39"/>
      <c r="W959" s="39"/>
      <c r="X959" s="24"/>
    </row>
    <row r="960" ht="15.75" customHeight="1">
      <c r="E960" s="24"/>
      <c r="J960" s="24"/>
      <c r="V960" s="39"/>
      <c r="W960" s="39"/>
      <c r="X960" s="24"/>
    </row>
    <row r="961" ht="15.75" customHeight="1">
      <c r="E961" s="24"/>
      <c r="J961" s="24"/>
      <c r="V961" s="39"/>
      <c r="W961" s="39"/>
      <c r="X961" s="24"/>
    </row>
    <row r="962" ht="15.75" customHeight="1">
      <c r="E962" s="24"/>
      <c r="J962" s="24"/>
      <c r="V962" s="39"/>
      <c r="W962" s="39"/>
      <c r="X962" s="24"/>
    </row>
    <row r="963" ht="15.75" customHeight="1">
      <c r="E963" s="24"/>
      <c r="J963" s="24"/>
      <c r="V963" s="39"/>
      <c r="W963" s="39"/>
      <c r="X963" s="24"/>
    </row>
    <row r="964" ht="15.75" customHeight="1">
      <c r="E964" s="24"/>
      <c r="J964" s="24"/>
      <c r="V964" s="39"/>
      <c r="W964" s="39"/>
      <c r="X964" s="24"/>
    </row>
    <row r="965" ht="15.75" customHeight="1">
      <c r="E965" s="24"/>
      <c r="J965" s="24"/>
      <c r="V965" s="39"/>
      <c r="W965" s="39"/>
      <c r="X965" s="24"/>
    </row>
    <row r="966" ht="15.75" customHeight="1">
      <c r="E966" s="24"/>
      <c r="J966" s="24"/>
      <c r="V966" s="39"/>
      <c r="W966" s="39"/>
      <c r="X966" s="24"/>
    </row>
    <row r="967" ht="15.75" customHeight="1">
      <c r="E967" s="24"/>
      <c r="J967" s="24"/>
      <c r="V967" s="39"/>
      <c r="W967" s="39"/>
      <c r="X967" s="24"/>
    </row>
    <row r="968" ht="15.75" customHeight="1">
      <c r="E968" s="24"/>
      <c r="J968" s="24"/>
      <c r="V968" s="39"/>
      <c r="W968" s="39"/>
      <c r="X968" s="24"/>
    </row>
    <row r="969" ht="15.75" customHeight="1">
      <c r="E969" s="24"/>
      <c r="J969" s="24"/>
      <c r="V969" s="39"/>
      <c r="W969" s="39"/>
      <c r="X969" s="24"/>
    </row>
    <row r="970" ht="15.75" customHeight="1">
      <c r="E970" s="24"/>
      <c r="J970" s="24"/>
      <c r="V970" s="39"/>
      <c r="W970" s="39"/>
      <c r="X970" s="24"/>
    </row>
    <row r="971" ht="15.75" customHeight="1">
      <c r="E971" s="24"/>
      <c r="J971" s="24"/>
      <c r="V971" s="39"/>
      <c r="W971" s="39"/>
      <c r="X971" s="24"/>
    </row>
    <row r="972" ht="15.75" customHeight="1">
      <c r="E972" s="24"/>
      <c r="J972" s="24"/>
      <c r="V972" s="39"/>
      <c r="W972" s="39"/>
      <c r="X972" s="24"/>
    </row>
    <row r="973" ht="15.75" customHeight="1">
      <c r="E973" s="24"/>
      <c r="J973" s="24"/>
      <c r="V973" s="39"/>
      <c r="W973" s="39"/>
      <c r="X973" s="24"/>
    </row>
    <row r="974" ht="15.75" customHeight="1">
      <c r="E974" s="24"/>
      <c r="J974" s="24"/>
      <c r="V974" s="39"/>
      <c r="W974" s="39"/>
      <c r="X974" s="24"/>
    </row>
    <row r="975" ht="15.75" customHeight="1">
      <c r="E975" s="24"/>
      <c r="J975" s="24"/>
      <c r="V975" s="39"/>
      <c r="W975" s="39"/>
      <c r="X975" s="24"/>
    </row>
    <row r="976" ht="15.75" customHeight="1">
      <c r="E976" s="24"/>
      <c r="J976" s="24"/>
      <c r="V976" s="39"/>
      <c r="W976" s="39"/>
      <c r="X976" s="24"/>
    </row>
    <row r="977" ht="15.75" customHeight="1">
      <c r="E977" s="24"/>
      <c r="J977" s="24"/>
      <c r="V977" s="39"/>
      <c r="W977" s="39"/>
      <c r="X977" s="24"/>
    </row>
    <row r="978" ht="15.75" customHeight="1">
      <c r="E978" s="24"/>
      <c r="J978" s="24"/>
      <c r="V978" s="39"/>
      <c r="W978" s="39"/>
      <c r="X978" s="24"/>
    </row>
    <row r="979" ht="15.75" customHeight="1">
      <c r="E979" s="24"/>
      <c r="J979" s="24"/>
      <c r="V979" s="39"/>
      <c r="W979" s="39"/>
      <c r="X979" s="24"/>
    </row>
    <row r="980" ht="15.75" customHeight="1">
      <c r="E980" s="24"/>
      <c r="J980" s="24"/>
      <c r="V980" s="39"/>
      <c r="W980" s="39"/>
      <c r="X980" s="24"/>
    </row>
    <row r="981" ht="15.75" customHeight="1">
      <c r="E981" s="24"/>
      <c r="J981" s="24"/>
      <c r="V981" s="39"/>
      <c r="W981" s="39"/>
      <c r="X981" s="24"/>
    </row>
    <row r="982" ht="15.75" customHeight="1">
      <c r="E982" s="24"/>
      <c r="J982" s="24"/>
      <c r="V982" s="39"/>
      <c r="W982" s="39"/>
      <c r="X982" s="24"/>
    </row>
    <row r="983" ht="15.75" customHeight="1">
      <c r="E983" s="24"/>
      <c r="J983" s="24"/>
      <c r="V983" s="39"/>
      <c r="W983" s="39"/>
      <c r="X983" s="24"/>
    </row>
    <row r="984" ht="15.75" customHeight="1">
      <c r="E984" s="24"/>
      <c r="J984" s="24"/>
      <c r="V984" s="39"/>
      <c r="W984" s="39"/>
      <c r="X984" s="24"/>
    </row>
    <row r="985" ht="15.75" customHeight="1">
      <c r="E985" s="24"/>
      <c r="J985" s="24"/>
      <c r="V985" s="39"/>
      <c r="W985" s="39"/>
      <c r="X985" s="24"/>
    </row>
    <row r="986" ht="15.75" customHeight="1">
      <c r="E986" s="24"/>
      <c r="J986" s="24"/>
      <c r="V986" s="39"/>
      <c r="W986" s="39"/>
      <c r="X986" s="24"/>
    </row>
    <row r="987" ht="15.75" customHeight="1">
      <c r="E987" s="24"/>
      <c r="J987" s="24"/>
      <c r="V987" s="39"/>
      <c r="W987" s="39"/>
      <c r="X987" s="24"/>
    </row>
    <row r="988" ht="15.75" customHeight="1">
      <c r="E988" s="24"/>
      <c r="J988" s="24"/>
      <c r="V988" s="39"/>
      <c r="W988" s="39"/>
      <c r="X988" s="24"/>
    </row>
    <row r="989" ht="15.75" customHeight="1">
      <c r="E989" s="24"/>
      <c r="J989" s="24"/>
      <c r="V989" s="39"/>
      <c r="W989" s="39"/>
      <c r="X989" s="24"/>
    </row>
    <row r="990" ht="15.75" customHeight="1">
      <c r="E990" s="24"/>
      <c r="J990" s="24"/>
      <c r="V990" s="39"/>
      <c r="W990" s="39"/>
      <c r="X990" s="24"/>
    </row>
    <row r="991" ht="15.75" customHeight="1">
      <c r="E991" s="24"/>
      <c r="J991" s="24"/>
      <c r="V991" s="39"/>
      <c r="W991" s="39"/>
      <c r="X991" s="24"/>
    </row>
    <row r="992" ht="15.75" customHeight="1">
      <c r="E992" s="24"/>
      <c r="J992" s="24"/>
      <c r="V992" s="39"/>
      <c r="W992" s="39"/>
      <c r="X992" s="24"/>
    </row>
    <row r="993" ht="15.75" customHeight="1">
      <c r="E993" s="24"/>
      <c r="J993" s="24"/>
      <c r="V993" s="39"/>
      <c r="W993" s="39"/>
      <c r="X993" s="24"/>
    </row>
    <row r="994" ht="15.75" customHeight="1">
      <c r="E994" s="24"/>
      <c r="J994" s="24"/>
      <c r="V994" s="39"/>
      <c r="W994" s="39"/>
      <c r="X994" s="24"/>
    </row>
    <row r="995" ht="15.75" customHeight="1">
      <c r="E995" s="24"/>
      <c r="J995" s="24"/>
      <c r="V995" s="39"/>
      <c r="W995" s="39"/>
      <c r="X995" s="24"/>
    </row>
    <row r="996" ht="15.75" customHeight="1">
      <c r="E996" s="24"/>
      <c r="J996" s="24"/>
      <c r="V996" s="39"/>
      <c r="W996" s="39"/>
      <c r="X996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9.5"/>
    <col customWidth="1" min="3" max="3" width="18.38"/>
    <col customWidth="1" min="4" max="5" width="26.0"/>
    <col customWidth="1" min="6" max="6" width="28.88"/>
    <col customWidth="1" min="7" max="8" width="19.63"/>
    <col customWidth="1" min="9" max="20" width="27.75"/>
    <col customWidth="1" min="21" max="21" width="18.63"/>
    <col customWidth="1" min="22" max="22" width="27.5"/>
    <col customWidth="1" min="23" max="23" width="29.63"/>
    <col customWidth="1" min="24" max="24" width="17.13"/>
  </cols>
  <sheetData>
    <row r="1" ht="15.75" customHeight="1">
      <c r="A1" s="8" t="s">
        <v>17</v>
      </c>
      <c r="B1" s="8" t="s">
        <v>18</v>
      </c>
      <c r="C1" s="8" t="s">
        <v>19</v>
      </c>
      <c r="D1" s="8" t="s">
        <v>20</v>
      </c>
      <c r="E1" s="9" t="s">
        <v>21</v>
      </c>
      <c r="F1" s="9" t="s">
        <v>22</v>
      </c>
      <c r="G1" s="8" t="s">
        <v>23</v>
      </c>
      <c r="H1" s="8" t="s">
        <v>24</v>
      </c>
      <c r="I1" s="8" t="s">
        <v>25</v>
      </c>
      <c r="J1" s="9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34</v>
      </c>
      <c r="S1" s="8" t="s">
        <v>35</v>
      </c>
      <c r="T1" s="8" t="s">
        <v>36</v>
      </c>
      <c r="U1" s="10" t="s">
        <v>37</v>
      </c>
      <c r="V1" s="11" t="s">
        <v>38</v>
      </c>
      <c r="W1" s="12" t="s">
        <v>39</v>
      </c>
      <c r="X1" s="10" t="s">
        <v>40</v>
      </c>
    </row>
    <row r="2" ht="15.75" customHeight="1">
      <c r="A2" s="14" t="s">
        <v>41</v>
      </c>
      <c r="B2" s="15" t="s">
        <v>42</v>
      </c>
      <c r="C2" s="16">
        <v>9740.0</v>
      </c>
      <c r="D2" s="17">
        <v>3.8</v>
      </c>
      <c r="E2" s="18" t="str">
        <f t="shared" ref="E2:E51" si="1">IF(D2&lt;5,"Low",IF(D2&lt;8,"Moderate","High"))</f>
        <v>Low</v>
      </c>
      <c r="F2" s="19">
        <v>4.659</v>
      </c>
      <c r="G2" s="20">
        <v>27.09</v>
      </c>
      <c r="H2" s="16">
        <v>56340.0</v>
      </c>
      <c r="I2" s="17">
        <v>1.4</v>
      </c>
      <c r="J2" s="18" t="str">
        <f t="shared" ref="J2:J51" si="2">IF(I2&lt;2,"Low",IF(I2&lt;4,"Moderate","High"))</f>
        <v>Low</v>
      </c>
      <c r="K2" s="20">
        <v>17.82</v>
      </c>
      <c r="L2" s="20">
        <v>21.47</v>
      </c>
      <c r="M2" s="20">
        <v>25.2</v>
      </c>
      <c r="N2" s="20">
        <v>30.64</v>
      </c>
      <c r="O2" s="20">
        <v>36.73</v>
      </c>
      <c r="P2" s="16">
        <v>37060.0</v>
      </c>
      <c r="Q2" s="16">
        <v>44670.0</v>
      </c>
      <c r="R2" s="16">
        <v>52420.0</v>
      </c>
      <c r="S2" s="16">
        <v>63730.0</v>
      </c>
      <c r="T2" s="16">
        <v>76390.0</v>
      </c>
      <c r="U2" s="16">
        <f t="shared" ref="U2:U51" si="3">G2-M2</f>
        <v>1.89</v>
      </c>
      <c r="V2" s="21">
        <f t="shared" ref="V2:V51" si="4">(U2/M2)*100</f>
        <v>7.5</v>
      </c>
      <c r="W2" s="22">
        <f t="shared" ref="W2:W51" si="5">O2/K2</f>
        <v>2.061167228</v>
      </c>
      <c r="X2" s="24" t="str">
        <f t="shared" ref="X2:X51" si="6">IF(OR(E2="High",J2="High"),"⚠ Use with caution","OK")</f>
        <v>OK</v>
      </c>
    </row>
    <row r="3" ht="15.75" customHeight="1">
      <c r="A3" s="14" t="s">
        <v>43</v>
      </c>
      <c r="B3" s="15" t="s">
        <v>44</v>
      </c>
      <c r="C3" s="16">
        <v>1820.0</v>
      </c>
      <c r="D3" s="17">
        <v>7.7</v>
      </c>
      <c r="E3" s="18" t="str">
        <f t="shared" si="1"/>
        <v>Moderate</v>
      </c>
      <c r="F3" s="19">
        <v>5.662</v>
      </c>
      <c r="G3" s="20">
        <v>40.15</v>
      </c>
      <c r="H3" s="16">
        <v>83520.0</v>
      </c>
      <c r="I3" s="17">
        <v>1.8</v>
      </c>
      <c r="J3" s="18" t="str">
        <f t="shared" si="2"/>
        <v>Low</v>
      </c>
      <c r="K3" s="20">
        <v>23.95</v>
      </c>
      <c r="L3" s="20">
        <v>29.38</v>
      </c>
      <c r="M3" s="20">
        <v>39.36</v>
      </c>
      <c r="N3" s="20">
        <v>47.47</v>
      </c>
      <c r="O3" s="20">
        <v>55.04</v>
      </c>
      <c r="P3" s="16">
        <v>49820.0</v>
      </c>
      <c r="Q3" s="16">
        <v>61110.0</v>
      </c>
      <c r="R3" s="16">
        <v>81860.0</v>
      </c>
      <c r="S3" s="16">
        <v>98740.0</v>
      </c>
      <c r="T3" s="16">
        <v>114480.0</v>
      </c>
      <c r="U3" s="16">
        <f t="shared" si="3"/>
        <v>0.79</v>
      </c>
      <c r="V3" s="21">
        <f t="shared" si="4"/>
        <v>2.007113821</v>
      </c>
      <c r="W3" s="22">
        <f t="shared" si="5"/>
        <v>2.298121086</v>
      </c>
      <c r="X3" s="24" t="str">
        <f t="shared" si="6"/>
        <v>OK</v>
      </c>
    </row>
    <row r="4" ht="15.75" customHeight="1">
      <c r="A4" s="14" t="s">
        <v>45</v>
      </c>
      <c r="B4" s="15" t="s">
        <v>46</v>
      </c>
      <c r="C4" s="16">
        <v>21280.0</v>
      </c>
      <c r="D4" s="17">
        <v>6.2</v>
      </c>
      <c r="E4" s="18" t="str">
        <f t="shared" si="1"/>
        <v>Moderate</v>
      </c>
      <c r="F4" s="19">
        <v>6.657</v>
      </c>
      <c r="G4" s="20">
        <v>29.58</v>
      </c>
      <c r="H4" s="16">
        <v>61520.0</v>
      </c>
      <c r="I4" s="17">
        <v>1.4</v>
      </c>
      <c r="J4" s="18" t="str">
        <f t="shared" si="2"/>
        <v>Low</v>
      </c>
      <c r="K4" s="20">
        <v>21.27</v>
      </c>
      <c r="L4" s="20">
        <v>23.32</v>
      </c>
      <c r="M4" s="20">
        <v>28.6</v>
      </c>
      <c r="N4" s="20">
        <v>35.13</v>
      </c>
      <c r="O4" s="20">
        <v>39.12</v>
      </c>
      <c r="P4" s="16">
        <v>44240.0</v>
      </c>
      <c r="Q4" s="16">
        <v>48510.0</v>
      </c>
      <c r="R4" s="16">
        <v>59480.0</v>
      </c>
      <c r="S4" s="16">
        <v>73060.0</v>
      </c>
      <c r="T4" s="16">
        <v>81370.0</v>
      </c>
      <c r="U4" s="16">
        <f t="shared" si="3"/>
        <v>0.98</v>
      </c>
      <c r="V4" s="21">
        <f t="shared" si="4"/>
        <v>3.426573427</v>
      </c>
      <c r="W4" s="22">
        <f t="shared" si="5"/>
        <v>1.839210155</v>
      </c>
      <c r="X4" s="24" t="str">
        <f t="shared" si="6"/>
        <v>OK</v>
      </c>
    </row>
    <row r="5" ht="15.75" customHeight="1">
      <c r="A5" s="14" t="s">
        <v>47</v>
      </c>
      <c r="B5" s="15" t="s">
        <v>48</v>
      </c>
      <c r="C5" s="16">
        <v>8670.0</v>
      </c>
      <c r="D5" s="17">
        <v>4.9</v>
      </c>
      <c r="E5" s="18" t="str">
        <f t="shared" si="1"/>
        <v>Low</v>
      </c>
      <c r="F5" s="19">
        <v>6.728</v>
      </c>
      <c r="G5" s="20">
        <v>25.41</v>
      </c>
      <c r="H5" s="16">
        <v>52860.0</v>
      </c>
      <c r="I5" s="17">
        <v>1.4</v>
      </c>
      <c r="J5" s="18" t="str">
        <f t="shared" si="2"/>
        <v>Low</v>
      </c>
      <c r="K5" s="20">
        <v>17.06</v>
      </c>
      <c r="L5" s="20">
        <v>18.49</v>
      </c>
      <c r="M5" s="20">
        <v>23.76</v>
      </c>
      <c r="N5" s="20">
        <v>29.82</v>
      </c>
      <c r="O5" s="20">
        <v>35.13</v>
      </c>
      <c r="P5" s="16">
        <v>35490.0</v>
      </c>
      <c r="Q5" s="16">
        <v>38470.0</v>
      </c>
      <c r="R5" s="16">
        <v>49420.0</v>
      </c>
      <c r="S5" s="16">
        <v>62030.0</v>
      </c>
      <c r="T5" s="16">
        <v>73060.0</v>
      </c>
      <c r="U5" s="16">
        <f t="shared" si="3"/>
        <v>1.65</v>
      </c>
      <c r="V5" s="21">
        <f t="shared" si="4"/>
        <v>6.944444444</v>
      </c>
      <c r="W5" s="22">
        <f t="shared" si="5"/>
        <v>2.059202814</v>
      </c>
      <c r="X5" s="24" t="str">
        <f t="shared" si="6"/>
        <v>OK</v>
      </c>
    </row>
    <row r="6" ht="15.75" customHeight="1">
      <c r="A6" s="14" t="s">
        <v>49</v>
      </c>
      <c r="B6" s="15" t="s">
        <v>50</v>
      </c>
      <c r="C6" s="16">
        <v>73420.0</v>
      </c>
      <c r="D6" s="17">
        <v>3.0</v>
      </c>
      <c r="E6" s="18" t="str">
        <f t="shared" si="1"/>
        <v>Low</v>
      </c>
      <c r="F6" s="19">
        <v>4.066</v>
      </c>
      <c r="G6" s="20">
        <v>41.24</v>
      </c>
      <c r="H6" s="16">
        <v>85780.0</v>
      </c>
      <c r="I6" s="17">
        <v>2.1</v>
      </c>
      <c r="J6" s="18" t="str">
        <f t="shared" si="2"/>
        <v>Moderate</v>
      </c>
      <c r="K6" s="20">
        <v>22.42</v>
      </c>
      <c r="L6" s="20">
        <v>28.57</v>
      </c>
      <c r="M6" s="20">
        <v>36.8</v>
      </c>
      <c r="N6" s="20">
        <v>49.87</v>
      </c>
      <c r="O6" s="20">
        <v>65.73</v>
      </c>
      <c r="P6" s="16">
        <v>46630.0</v>
      </c>
      <c r="Q6" s="16">
        <v>59420.0</v>
      </c>
      <c r="R6" s="16">
        <v>76540.0</v>
      </c>
      <c r="S6" s="16">
        <v>103720.0</v>
      </c>
      <c r="T6" s="16">
        <v>136710.0</v>
      </c>
      <c r="U6" s="16">
        <f t="shared" si="3"/>
        <v>4.44</v>
      </c>
      <c r="V6" s="21">
        <f t="shared" si="4"/>
        <v>12.06521739</v>
      </c>
      <c r="W6" s="22">
        <f t="shared" si="5"/>
        <v>2.93175736</v>
      </c>
      <c r="X6" s="24" t="str">
        <f t="shared" si="6"/>
        <v>OK</v>
      </c>
    </row>
    <row r="7" ht="15.75" customHeight="1">
      <c r="A7" s="14" t="s">
        <v>51</v>
      </c>
      <c r="B7" s="15" t="s">
        <v>52</v>
      </c>
      <c r="C7" s="16">
        <v>17140.0</v>
      </c>
      <c r="D7" s="17">
        <v>4.5</v>
      </c>
      <c r="E7" s="18" t="str">
        <f t="shared" si="1"/>
        <v>Low</v>
      </c>
      <c r="F7" s="19">
        <v>5.929</v>
      </c>
      <c r="G7" s="20">
        <v>31.07</v>
      </c>
      <c r="H7" s="16">
        <v>64620.0</v>
      </c>
      <c r="I7" s="17">
        <v>1.1</v>
      </c>
      <c r="J7" s="18" t="str">
        <f t="shared" si="2"/>
        <v>Low</v>
      </c>
      <c r="K7" s="20">
        <v>20.37</v>
      </c>
      <c r="L7" s="20">
        <v>23.25</v>
      </c>
      <c r="M7" s="20">
        <v>29.85</v>
      </c>
      <c r="N7" s="20">
        <v>37.23</v>
      </c>
      <c r="O7" s="20">
        <v>43.33</v>
      </c>
      <c r="P7" s="16">
        <v>42360.0</v>
      </c>
      <c r="Q7" s="16">
        <v>48350.0</v>
      </c>
      <c r="R7" s="16">
        <v>62090.0</v>
      </c>
      <c r="S7" s="16">
        <v>77440.0</v>
      </c>
      <c r="T7" s="16">
        <v>90120.0</v>
      </c>
      <c r="U7" s="16">
        <f t="shared" si="3"/>
        <v>1.22</v>
      </c>
      <c r="V7" s="21">
        <f t="shared" si="4"/>
        <v>4.087102178</v>
      </c>
      <c r="W7" s="22">
        <f t="shared" si="5"/>
        <v>2.127147766</v>
      </c>
      <c r="X7" s="24" t="str">
        <f t="shared" si="6"/>
        <v>OK</v>
      </c>
    </row>
    <row r="8" ht="15.75" customHeight="1">
      <c r="A8" s="14" t="s">
        <v>53</v>
      </c>
      <c r="B8" s="15" t="s">
        <v>54</v>
      </c>
      <c r="C8" s="16">
        <v>7570.0</v>
      </c>
      <c r="D8" s="17">
        <v>5.3</v>
      </c>
      <c r="E8" s="18" t="str">
        <f t="shared" si="1"/>
        <v>Moderate</v>
      </c>
      <c r="F8" s="19">
        <v>4.5</v>
      </c>
      <c r="G8" s="20">
        <v>35.66</v>
      </c>
      <c r="H8" s="16">
        <v>74170.0</v>
      </c>
      <c r="I8" s="17">
        <v>1.7</v>
      </c>
      <c r="J8" s="18" t="str">
        <f t="shared" si="2"/>
        <v>Low</v>
      </c>
      <c r="K8" s="20">
        <v>22.51</v>
      </c>
      <c r="L8" s="20">
        <v>29.7</v>
      </c>
      <c r="M8" s="20">
        <v>36.92</v>
      </c>
      <c r="N8" s="20">
        <v>43.14</v>
      </c>
      <c r="O8" s="20">
        <v>47.76</v>
      </c>
      <c r="P8" s="16">
        <v>46810.0</v>
      </c>
      <c r="Q8" s="16">
        <v>61770.0</v>
      </c>
      <c r="R8" s="16">
        <v>76790.0</v>
      </c>
      <c r="S8" s="16">
        <v>89740.0</v>
      </c>
      <c r="T8" s="16">
        <v>99340.0</v>
      </c>
      <c r="U8" s="16">
        <f t="shared" si="3"/>
        <v>-1.26</v>
      </c>
      <c r="V8" s="21">
        <f t="shared" si="4"/>
        <v>-3.412784399</v>
      </c>
      <c r="W8" s="22">
        <f t="shared" si="5"/>
        <v>2.121723678</v>
      </c>
      <c r="X8" s="24" t="str">
        <f t="shared" si="6"/>
        <v>OK</v>
      </c>
    </row>
    <row r="9" ht="15.75" customHeight="1">
      <c r="A9" s="14" t="s">
        <v>55</v>
      </c>
      <c r="B9" s="15" t="s">
        <v>56</v>
      </c>
      <c r="C9" s="16">
        <v>2220.0</v>
      </c>
      <c r="D9" s="17">
        <v>8.7</v>
      </c>
      <c r="E9" s="26" t="str">
        <f t="shared" si="1"/>
        <v>High</v>
      </c>
      <c r="F9" s="19">
        <v>4.662</v>
      </c>
      <c r="G9" s="20">
        <v>32.64</v>
      </c>
      <c r="H9" s="16">
        <v>67900.0</v>
      </c>
      <c r="I9" s="17">
        <v>3.8</v>
      </c>
      <c r="J9" s="18" t="str">
        <f t="shared" si="2"/>
        <v>Moderate</v>
      </c>
      <c r="K9" s="20">
        <v>18.62</v>
      </c>
      <c r="L9" s="20">
        <v>23.87</v>
      </c>
      <c r="M9" s="20">
        <v>30.28</v>
      </c>
      <c r="N9" s="20">
        <v>37.66</v>
      </c>
      <c r="O9" s="20">
        <v>50.53</v>
      </c>
      <c r="P9" s="16">
        <v>38730.0</v>
      </c>
      <c r="Q9" s="16">
        <v>49650.0</v>
      </c>
      <c r="R9" s="16">
        <v>62970.0</v>
      </c>
      <c r="S9" s="16">
        <v>78340.0</v>
      </c>
      <c r="T9" s="16">
        <v>105110.0</v>
      </c>
      <c r="U9" s="16">
        <f t="shared" si="3"/>
        <v>2.36</v>
      </c>
      <c r="V9" s="21">
        <f t="shared" si="4"/>
        <v>7.793923382</v>
      </c>
      <c r="W9" s="22">
        <f t="shared" si="5"/>
        <v>2.713748657</v>
      </c>
      <c r="X9" s="24" t="str">
        <f t="shared" si="6"/>
        <v>⚠ Use with caution</v>
      </c>
    </row>
    <row r="10" ht="15.75" customHeight="1">
      <c r="A10" s="14" t="s">
        <v>57</v>
      </c>
      <c r="B10" s="15" t="s">
        <v>58</v>
      </c>
      <c r="C10" s="16">
        <v>47980.0</v>
      </c>
      <c r="D10" s="17">
        <v>4.2</v>
      </c>
      <c r="E10" s="18" t="str">
        <f t="shared" si="1"/>
        <v>Low</v>
      </c>
      <c r="F10" s="19">
        <v>4.886</v>
      </c>
      <c r="G10" s="20">
        <v>26.68</v>
      </c>
      <c r="H10" s="16">
        <v>55490.0</v>
      </c>
      <c r="I10" s="17">
        <v>1.0</v>
      </c>
      <c r="J10" s="18" t="str">
        <f t="shared" si="2"/>
        <v>Low</v>
      </c>
      <c r="K10" s="20">
        <v>18.22</v>
      </c>
      <c r="L10" s="20">
        <v>22.54</v>
      </c>
      <c r="M10" s="20">
        <v>25.53</v>
      </c>
      <c r="N10" s="20">
        <v>29.34</v>
      </c>
      <c r="O10" s="20">
        <v>34.58</v>
      </c>
      <c r="P10" s="16">
        <v>37890.0</v>
      </c>
      <c r="Q10" s="16">
        <v>46880.0</v>
      </c>
      <c r="R10" s="16">
        <v>53100.0</v>
      </c>
      <c r="S10" s="16">
        <v>61040.0</v>
      </c>
      <c r="T10" s="16">
        <v>71920.0</v>
      </c>
      <c r="U10" s="16">
        <f t="shared" si="3"/>
        <v>1.15</v>
      </c>
      <c r="V10" s="21">
        <f t="shared" si="4"/>
        <v>4.504504505</v>
      </c>
      <c r="W10" s="22">
        <f t="shared" si="5"/>
        <v>1.89791438</v>
      </c>
      <c r="X10" s="24" t="str">
        <f t="shared" si="6"/>
        <v>OK</v>
      </c>
    </row>
    <row r="11" ht="15.75" customHeight="1">
      <c r="A11" s="14" t="s">
        <v>59</v>
      </c>
      <c r="B11" s="15" t="s">
        <v>60</v>
      </c>
      <c r="C11" s="16">
        <v>20740.0</v>
      </c>
      <c r="D11" s="17">
        <v>4.2</v>
      </c>
      <c r="E11" s="18" t="str">
        <f t="shared" si="1"/>
        <v>Low</v>
      </c>
      <c r="F11" s="19">
        <v>4.27</v>
      </c>
      <c r="G11" s="20">
        <v>29.61</v>
      </c>
      <c r="H11" s="16">
        <v>61590.0</v>
      </c>
      <c r="I11" s="17">
        <v>1.4</v>
      </c>
      <c r="J11" s="18" t="str">
        <f t="shared" si="2"/>
        <v>Low</v>
      </c>
      <c r="K11" s="20">
        <v>17.94</v>
      </c>
      <c r="L11" s="20">
        <v>22.55</v>
      </c>
      <c r="M11" s="20">
        <v>28.3</v>
      </c>
      <c r="N11" s="20">
        <v>36.69</v>
      </c>
      <c r="O11" s="20">
        <v>41.65</v>
      </c>
      <c r="P11" s="16">
        <v>37320.0</v>
      </c>
      <c r="Q11" s="16">
        <v>46900.0</v>
      </c>
      <c r="R11" s="16">
        <v>58860.0</v>
      </c>
      <c r="S11" s="16">
        <v>76310.0</v>
      </c>
      <c r="T11" s="16">
        <v>86640.0</v>
      </c>
      <c r="U11" s="16">
        <f t="shared" si="3"/>
        <v>1.31</v>
      </c>
      <c r="V11" s="21">
        <f t="shared" si="4"/>
        <v>4.628975265</v>
      </c>
      <c r="W11" s="22">
        <f t="shared" si="5"/>
        <v>2.321627648</v>
      </c>
      <c r="X11" s="24" t="str">
        <f t="shared" si="6"/>
        <v>OK</v>
      </c>
    </row>
    <row r="12" ht="15.75" customHeight="1">
      <c r="A12" s="14" t="s">
        <v>61</v>
      </c>
      <c r="B12" s="15" t="s">
        <v>62</v>
      </c>
      <c r="C12" s="16">
        <v>3020.0</v>
      </c>
      <c r="D12" s="17">
        <v>11.9</v>
      </c>
      <c r="E12" s="26" t="str">
        <f t="shared" si="1"/>
        <v>High</v>
      </c>
      <c r="F12" s="19">
        <v>4.866</v>
      </c>
      <c r="G12" s="20">
        <v>41.68</v>
      </c>
      <c r="H12" s="16">
        <v>86690.0</v>
      </c>
      <c r="I12" s="17">
        <v>4.6</v>
      </c>
      <c r="J12" s="26" t="str">
        <f t="shared" si="2"/>
        <v>High</v>
      </c>
      <c r="K12" s="20">
        <v>21.14</v>
      </c>
      <c r="L12" s="20">
        <v>28.82</v>
      </c>
      <c r="M12" s="20">
        <v>40.0</v>
      </c>
      <c r="N12" s="20">
        <v>55.74</v>
      </c>
      <c r="O12" s="20">
        <v>58.2</v>
      </c>
      <c r="P12" s="16">
        <v>43960.0</v>
      </c>
      <c r="Q12" s="16">
        <v>59940.0</v>
      </c>
      <c r="R12" s="16">
        <v>83200.0</v>
      </c>
      <c r="S12" s="16">
        <v>115930.0</v>
      </c>
      <c r="T12" s="16">
        <v>121050.0</v>
      </c>
      <c r="U12" s="16">
        <f t="shared" si="3"/>
        <v>1.68</v>
      </c>
      <c r="V12" s="21">
        <f t="shared" si="4"/>
        <v>4.2</v>
      </c>
      <c r="W12" s="22">
        <f t="shared" si="5"/>
        <v>2.75307474</v>
      </c>
      <c r="X12" s="24" t="str">
        <f t="shared" si="6"/>
        <v>⚠ Use with caution</v>
      </c>
    </row>
    <row r="13" ht="15.75" customHeight="1">
      <c r="A13" s="14" t="s">
        <v>63</v>
      </c>
      <c r="B13" s="15" t="s">
        <v>64</v>
      </c>
      <c r="C13" s="16">
        <v>5380.0</v>
      </c>
      <c r="D13" s="17">
        <v>5.8</v>
      </c>
      <c r="E13" s="18" t="str">
        <f t="shared" si="1"/>
        <v>Moderate</v>
      </c>
      <c r="F13" s="19">
        <v>6.373</v>
      </c>
      <c r="G13" s="20">
        <v>29.89</v>
      </c>
      <c r="H13" s="16">
        <v>62180.0</v>
      </c>
      <c r="I13" s="17">
        <v>1.6</v>
      </c>
      <c r="J13" s="18" t="str">
        <f t="shared" si="2"/>
        <v>Low</v>
      </c>
      <c r="K13" s="20">
        <v>18.38</v>
      </c>
      <c r="L13" s="20">
        <v>22.51</v>
      </c>
      <c r="M13" s="20">
        <v>29.17</v>
      </c>
      <c r="N13" s="20">
        <v>37.22</v>
      </c>
      <c r="O13" s="20">
        <v>43.22</v>
      </c>
      <c r="P13" s="16">
        <v>38220.0</v>
      </c>
      <c r="Q13" s="16">
        <v>46820.0</v>
      </c>
      <c r="R13" s="16">
        <v>60670.0</v>
      </c>
      <c r="S13" s="16">
        <v>77420.0</v>
      </c>
      <c r="T13" s="16">
        <v>89890.0</v>
      </c>
      <c r="U13" s="16">
        <f t="shared" si="3"/>
        <v>0.72</v>
      </c>
      <c r="V13" s="21">
        <f t="shared" si="4"/>
        <v>2.468289338</v>
      </c>
      <c r="W13" s="22">
        <f t="shared" si="5"/>
        <v>2.351468988</v>
      </c>
      <c r="X13" s="24" t="str">
        <f t="shared" si="6"/>
        <v>OK</v>
      </c>
    </row>
    <row r="14" ht="15.75" customHeight="1">
      <c r="A14" s="14" t="s">
        <v>65</v>
      </c>
      <c r="B14" s="15" t="s">
        <v>66</v>
      </c>
      <c r="C14" s="16">
        <v>22880.0</v>
      </c>
      <c r="D14" s="17">
        <v>4.7</v>
      </c>
      <c r="E14" s="18" t="str">
        <f t="shared" si="1"/>
        <v>Low</v>
      </c>
      <c r="F14" s="19">
        <v>3.772</v>
      </c>
      <c r="G14" s="20">
        <v>42.88</v>
      </c>
      <c r="H14" s="16">
        <v>89190.0</v>
      </c>
      <c r="I14" s="17">
        <v>1.5</v>
      </c>
      <c r="J14" s="18" t="str">
        <f t="shared" si="2"/>
        <v>Low</v>
      </c>
      <c r="K14" s="20">
        <v>23.45</v>
      </c>
      <c r="L14" s="20">
        <v>32.54</v>
      </c>
      <c r="M14" s="20">
        <v>46.33</v>
      </c>
      <c r="N14" s="20">
        <v>52.04</v>
      </c>
      <c r="O14" s="20">
        <v>57.75</v>
      </c>
      <c r="P14" s="16">
        <v>48770.0</v>
      </c>
      <c r="Q14" s="16">
        <v>67690.0</v>
      </c>
      <c r="R14" s="16">
        <v>96360.0</v>
      </c>
      <c r="S14" s="16">
        <v>108230.0</v>
      </c>
      <c r="T14" s="16">
        <v>120120.0</v>
      </c>
      <c r="U14" s="16">
        <f t="shared" si="3"/>
        <v>-3.45</v>
      </c>
      <c r="V14" s="21">
        <f t="shared" si="4"/>
        <v>-7.446578891</v>
      </c>
      <c r="W14" s="22">
        <f t="shared" si="5"/>
        <v>2.462686567</v>
      </c>
      <c r="X14" s="24" t="str">
        <f t="shared" si="6"/>
        <v>OK</v>
      </c>
    </row>
    <row r="15" ht="15.75" customHeight="1">
      <c r="A15" s="14" t="s">
        <v>67</v>
      </c>
      <c r="B15" s="15" t="s">
        <v>68</v>
      </c>
      <c r="C15" s="16">
        <v>17370.0</v>
      </c>
      <c r="D15" s="17">
        <v>3.4</v>
      </c>
      <c r="E15" s="18" t="str">
        <f t="shared" si="1"/>
        <v>Low</v>
      </c>
      <c r="F15" s="19">
        <v>5.45</v>
      </c>
      <c r="G15" s="20">
        <v>32.64</v>
      </c>
      <c r="H15" s="16">
        <v>67890.0</v>
      </c>
      <c r="I15" s="17">
        <v>0.9</v>
      </c>
      <c r="J15" s="18" t="str">
        <f t="shared" si="2"/>
        <v>Low</v>
      </c>
      <c r="K15" s="20">
        <v>19.2</v>
      </c>
      <c r="L15" s="20">
        <v>23.72</v>
      </c>
      <c r="M15" s="20">
        <v>31.48</v>
      </c>
      <c r="N15" s="20">
        <v>39.86</v>
      </c>
      <c r="O15" s="20">
        <v>45.54</v>
      </c>
      <c r="P15" s="16">
        <v>39940.0</v>
      </c>
      <c r="Q15" s="16">
        <v>49330.0</v>
      </c>
      <c r="R15" s="16">
        <v>65480.0</v>
      </c>
      <c r="S15" s="16">
        <v>82900.0</v>
      </c>
      <c r="T15" s="16">
        <v>94730.0</v>
      </c>
      <c r="U15" s="16">
        <f t="shared" si="3"/>
        <v>1.16</v>
      </c>
      <c r="V15" s="21">
        <f t="shared" si="4"/>
        <v>3.684879288</v>
      </c>
      <c r="W15" s="22">
        <f t="shared" si="5"/>
        <v>2.371875</v>
      </c>
      <c r="X15" s="24" t="str">
        <f t="shared" si="6"/>
        <v>OK</v>
      </c>
    </row>
    <row r="16" ht="15.75" customHeight="1">
      <c r="A16" s="14" t="s">
        <v>69</v>
      </c>
      <c r="B16" s="15" t="s">
        <v>70</v>
      </c>
      <c r="C16" s="16">
        <v>8900.0</v>
      </c>
      <c r="D16" s="17">
        <v>3.1</v>
      </c>
      <c r="E16" s="18" t="str">
        <f t="shared" si="1"/>
        <v>Low</v>
      </c>
      <c r="F16" s="19">
        <v>5.701</v>
      </c>
      <c r="G16" s="20">
        <v>30.72</v>
      </c>
      <c r="H16" s="16">
        <v>63910.0</v>
      </c>
      <c r="I16" s="17">
        <v>1.4</v>
      </c>
      <c r="J16" s="18" t="str">
        <f t="shared" si="2"/>
        <v>Low</v>
      </c>
      <c r="K16" s="20">
        <v>18.73</v>
      </c>
      <c r="L16" s="20">
        <v>23.08</v>
      </c>
      <c r="M16" s="20">
        <v>30.23</v>
      </c>
      <c r="N16" s="20">
        <v>38.56</v>
      </c>
      <c r="O16" s="20">
        <v>41.77</v>
      </c>
      <c r="P16" s="16">
        <v>38950.0</v>
      </c>
      <c r="Q16" s="16">
        <v>48010.0</v>
      </c>
      <c r="R16" s="16">
        <v>62880.0</v>
      </c>
      <c r="S16" s="16">
        <v>80200.0</v>
      </c>
      <c r="T16" s="16">
        <v>86890.0</v>
      </c>
      <c r="U16" s="16">
        <f t="shared" si="3"/>
        <v>0.49</v>
      </c>
      <c r="V16" s="21">
        <f t="shared" si="4"/>
        <v>1.620906384</v>
      </c>
      <c r="W16" s="22">
        <f t="shared" si="5"/>
        <v>2.23011212</v>
      </c>
      <c r="X16" s="24" t="str">
        <f t="shared" si="6"/>
        <v>OK</v>
      </c>
    </row>
    <row r="17" ht="15.75" customHeight="1">
      <c r="A17" s="14" t="s">
        <v>71</v>
      </c>
      <c r="B17" s="15" t="s">
        <v>72</v>
      </c>
      <c r="C17" s="16">
        <v>5640.0</v>
      </c>
      <c r="D17" s="17">
        <v>5.3</v>
      </c>
      <c r="E17" s="18" t="str">
        <f t="shared" si="1"/>
        <v>Moderate</v>
      </c>
      <c r="F17" s="19">
        <v>3.941</v>
      </c>
      <c r="G17" s="20">
        <v>31.48</v>
      </c>
      <c r="H17" s="16">
        <v>65470.0</v>
      </c>
      <c r="I17" s="17">
        <v>1.5</v>
      </c>
      <c r="J17" s="18" t="str">
        <f t="shared" si="2"/>
        <v>Low</v>
      </c>
      <c r="K17" s="20">
        <v>18.21</v>
      </c>
      <c r="L17" s="20">
        <v>23.37</v>
      </c>
      <c r="M17" s="20">
        <v>29.73</v>
      </c>
      <c r="N17" s="20">
        <v>38.38</v>
      </c>
      <c r="O17" s="20">
        <v>45.39</v>
      </c>
      <c r="P17" s="16">
        <v>37890.0</v>
      </c>
      <c r="Q17" s="16">
        <v>48600.0</v>
      </c>
      <c r="R17" s="16">
        <v>61830.0</v>
      </c>
      <c r="S17" s="16">
        <v>79830.0</v>
      </c>
      <c r="T17" s="16">
        <v>94400.0</v>
      </c>
      <c r="U17" s="16">
        <f t="shared" si="3"/>
        <v>1.75</v>
      </c>
      <c r="V17" s="21">
        <f t="shared" si="4"/>
        <v>5.886310124</v>
      </c>
      <c r="W17" s="22">
        <f t="shared" si="5"/>
        <v>2.492586491</v>
      </c>
      <c r="X17" s="24" t="str">
        <f t="shared" si="6"/>
        <v>OK</v>
      </c>
    </row>
    <row r="18" ht="15.75" customHeight="1">
      <c r="A18" s="14" t="s">
        <v>73</v>
      </c>
      <c r="B18" s="15" t="s">
        <v>74</v>
      </c>
      <c r="C18" s="16">
        <v>10320.0</v>
      </c>
      <c r="D18" s="17">
        <v>4.3</v>
      </c>
      <c r="E18" s="18" t="str">
        <f t="shared" si="1"/>
        <v>Low</v>
      </c>
      <c r="F18" s="19">
        <v>5.176</v>
      </c>
      <c r="G18" s="20">
        <v>29.17</v>
      </c>
      <c r="H18" s="16">
        <v>60660.0</v>
      </c>
      <c r="I18" s="17">
        <v>1.7</v>
      </c>
      <c r="J18" s="18" t="str">
        <f t="shared" si="2"/>
        <v>Low</v>
      </c>
      <c r="K18" s="20">
        <v>17.85</v>
      </c>
      <c r="L18" s="20">
        <v>22.61</v>
      </c>
      <c r="M18" s="20">
        <v>28.6</v>
      </c>
      <c r="N18" s="20">
        <v>36.91</v>
      </c>
      <c r="O18" s="20">
        <v>39.85</v>
      </c>
      <c r="P18" s="16">
        <v>37130.0</v>
      </c>
      <c r="Q18" s="16">
        <v>47030.0</v>
      </c>
      <c r="R18" s="16">
        <v>59490.0</v>
      </c>
      <c r="S18" s="16">
        <v>76770.0</v>
      </c>
      <c r="T18" s="16">
        <v>82890.0</v>
      </c>
      <c r="U18" s="16">
        <f t="shared" si="3"/>
        <v>0.57</v>
      </c>
      <c r="V18" s="21">
        <f t="shared" si="4"/>
        <v>1.993006993</v>
      </c>
      <c r="W18" s="22">
        <f t="shared" si="5"/>
        <v>2.232492997</v>
      </c>
      <c r="X18" s="24" t="str">
        <f t="shared" si="6"/>
        <v>OK</v>
      </c>
    </row>
    <row r="19" ht="15.75" customHeight="1">
      <c r="A19" s="14" t="s">
        <v>75</v>
      </c>
      <c r="B19" s="15" t="s">
        <v>76</v>
      </c>
      <c r="C19" s="16">
        <v>10810.0</v>
      </c>
      <c r="D19" s="17">
        <v>4.5</v>
      </c>
      <c r="E19" s="18" t="str">
        <f t="shared" si="1"/>
        <v>Low</v>
      </c>
      <c r="F19" s="19">
        <v>5.657</v>
      </c>
      <c r="G19" s="20">
        <v>28.62</v>
      </c>
      <c r="H19" s="16">
        <v>59530.0</v>
      </c>
      <c r="I19" s="17">
        <v>1.0</v>
      </c>
      <c r="J19" s="18" t="str">
        <f t="shared" si="2"/>
        <v>Low</v>
      </c>
      <c r="K19" s="20">
        <v>18.53</v>
      </c>
      <c r="L19" s="20">
        <v>23.21</v>
      </c>
      <c r="M19" s="20">
        <v>28.65</v>
      </c>
      <c r="N19" s="20">
        <v>31.9</v>
      </c>
      <c r="O19" s="20">
        <v>37.45</v>
      </c>
      <c r="P19" s="16">
        <v>38530.0</v>
      </c>
      <c r="Q19" s="16">
        <v>48280.0</v>
      </c>
      <c r="R19" s="16">
        <v>59590.0</v>
      </c>
      <c r="S19" s="16">
        <v>66350.0</v>
      </c>
      <c r="T19" s="16">
        <v>77900.0</v>
      </c>
      <c r="U19" s="16">
        <f t="shared" si="3"/>
        <v>-0.03</v>
      </c>
      <c r="V19" s="21">
        <f t="shared" si="4"/>
        <v>-0.1047120419</v>
      </c>
      <c r="W19" s="22">
        <f t="shared" si="5"/>
        <v>2.021046951</v>
      </c>
      <c r="X19" s="24" t="str">
        <f t="shared" si="6"/>
        <v>OK</v>
      </c>
    </row>
    <row r="20" ht="15.75" customHeight="1">
      <c r="A20" s="14" t="s">
        <v>77</v>
      </c>
      <c r="B20" s="15" t="s">
        <v>78</v>
      </c>
      <c r="C20" s="16">
        <v>3320.0</v>
      </c>
      <c r="D20" s="17">
        <v>5.4</v>
      </c>
      <c r="E20" s="18" t="str">
        <f t="shared" si="1"/>
        <v>Moderate</v>
      </c>
      <c r="F20" s="19">
        <v>5.224</v>
      </c>
      <c r="G20" s="20">
        <v>34.36</v>
      </c>
      <c r="H20" s="16">
        <v>71460.0</v>
      </c>
      <c r="I20" s="17">
        <v>1.7</v>
      </c>
      <c r="J20" s="18" t="str">
        <f t="shared" si="2"/>
        <v>Low</v>
      </c>
      <c r="K20" s="20">
        <v>25.29</v>
      </c>
      <c r="L20" s="20">
        <v>29.9</v>
      </c>
      <c r="M20" s="20">
        <v>32.61</v>
      </c>
      <c r="N20" s="20">
        <v>37.25</v>
      </c>
      <c r="O20" s="20">
        <v>45.33</v>
      </c>
      <c r="P20" s="16">
        <v>52600.0</v>
      </c>
      <c r="Q20" s="16">
        <v>62200.0</v>
      </c>
      <c r="R20" s="16">
        <v>67820.0</v>
      </c>
      <c r="S20" s="16">
        <v>77480.0</v>
      </c>
      <c r="T20" s="16">
        <v>94290.0</v>
      </c>
      <c r="U20" s="16">
        <f t="shared" si="3"/>
        <v>1.75</v>
      </c>
      <c r="V20" s="21">
        <f t="shared" si="4"/>
        <v>5.366452009</v>
      </c>
      <c r="W20" s="22">
        <f t="shared" si="5"/>
        <v>1.792408066</v>
      </c>
      <c r="X20" s="24" t="str">
        <f t="shared" si="6"/>
        <v>OK</v>
      </c>
    </row>
    <row r="21" ht="15.75" customHeight="1">
      <c r="A21" s="14" t="s">
        <v>79</v>
      </c>
      <c r="B21" s="15" t="s">
        <v>80</v>
      </c>
      <c r="C21" s="16">
        <v>14750.0</v>
      </c>
      <c r="D21" s="17">
        <v>5.1</v>
      </c>
      <c r="E21" s="18" t="str">
        <f t="shared" si="1"/>
        <v>Moderate</v>
      </c>
      <c r="F21" s="19">
        <v>5.371</v>
      </c>
      <c r="G21" s="20">
        <v>34.8</v>
      </c>
      <c r="H21" s="16">
        <v>72390.0</v>
      </c>
      <c r="I21" s="17">
        <v>2.3</v>
      </c>
      <c r="J21" s="18" t="str">
        <f t="shared" si="2"/>
        <v>Moderate</v>
      </c>
      <c r="K21" s="20">
        <v>21.39</v>
      </c>
      <c r="L21" s="20">
        <v>24.3</v>
      </c>
      <c r="M21" s="20">
        <v>31.56</v>
      </c>
      <c r="N21" s="20">
        <v>43.91</v>
      </c>
      <c r="O21" s="20">
        <v>52.14</v>
      </c>
      <c r="P21" s="16">
        <v>44480.0</v>
      </c>
      <c r="Q21" s="16">
        <v>50550.0</v>
      </c>
      <c r="R21" s="16">
        <v>65650.0</v>
      </c>
      <c r="S21" s="16">
        <v>91340.0</v>
      </c>
      <c r="T21" s="16">
        <v>108460.0</v>
      </c>
      <c r="U21" s="16">
        <f t="shared" si="3"/>
        <v>3.24</v>
      </c>
      <c r="V21" s="21">
        <f t="shared" si="4"/>
        <v>10.2661597</v>
      </c>
      <c r="W21" s="22">
        <f t="shared" si="5"/>
        <v>2.437587658</v>
      </c>
      <c r="X21" s="24" t="str">
        <f t="shared" si="6"/>
        <v>OK</v>
      </c>
    </row>
    <row r="22" ht="15.75" customHeight="1">
      <c r="A22" s="14" t="s">
        <v>81</v>
      </c>
      <c r="B22" s="15" t="s">
        <v>82</v>
      </c>
      <c r="C22" s="16">
        <v>16570.0</v>
      </c>
      <c r="D22" s="17">
        <v>7.4</v>
      </c>
      <c r="E22" s="18" t="str">
        <f t="shared" si="1"/>
        <v>Moderate</v>
      </c>
      <c r="F22" s="19">
        <v>4.549</v>
      </c>
      <c r="G22" s="20">
        <v>39.49</v>
      </c>
      <c r="H22" s="16">
        <v>82140.0</v>
      </c>
      <c r="I22" s="17">
        <v>2.8</v>
      </c>
      <c r="J22" s="18" t="str">
        <f t="shared" si="2"/>
        <v>Moderate</v>
      </c>
      <c r="K22" s="20">
        <v>22.73</v>
      </c>
      <c r="L22" s="20">
        <v>28.35</v>
      </c>
      <c r="M22" s="20">
        <v>39.48</v>
      </c>
      <c r="N22" s="20">
        <v>48.28</v>
      </c>
      <c r="O22" s="20">
        <v>59.13</v>
      </c>
      <c r="P22" s="16">
        <v>47280.0</v>
      </c>
      <c r="Q22" s="16">
        <v>58970.0</v>
      </c>
      <c r="R22" s="16">
        <v>82120.0</v>
      </c>
      <c r="S22" s="16">
        <v>100420.0</v>
      </c>
      <c r="T22" s="16">
        <v>122990.0</v>
      </c>
      <c r="U22" s="16">
        <f t="shared" si="3"/>
        <v>0.01</v>
      </c>
      <c r="V22" s="21">
        <f t="shared" si="4"/>
        <v>0.02532928065</v>
      </c>
      <c r="W22" s="22">
        <f t="shared" si="5"/>
        <v>2.601407831</v>
      </c>
      <c r="X22" s="24" t="str">
        <f t="shared" si="6"/>
        <v>OK</v>
      </c>
    </row>
    <row r="23" ht="15.75" customHeight="1">
      <c r="A23" s="14" t="s">
        <v>83</v>
      </c>
      <c r="B23" s="15" t="s">
        <v>84</v>
      </c>
      <c r="C23" s="16">
        <v>24670.0</v>
      </c>
      <c r="D23" s="17">
        <v>2.4</v>
      </c>
      <c r="E23" s="18" t="str">
        <f t="shared" si="1"/>
        <v>Low</v>
      </c>
      <c r="F23" s="19">
        <v>5.618</v>
      </c>
      <c r="G23" s="20">
        <v>34.17</v>
      </c>
      <c r="H23" s="16">
        <v>71060.0</v>
      </c>
      <c r="I23" s="17">
        <v>1.8</v>
      </c>
      <c r="J23" s="18" t="str">
        <f t="shared" si="2"/>
        <v>Low</v>
      </c>
      <c r="K23" s="20">
        <v>18.79</v>
      </c>
      <c r="L23" s="20">
        <v>23.51</v>
      </c>
      <c r="M23" s="20">
        <v>34.94</v>
      </c>
      <c r="N23" s="20">
        <v>41.71</v>
      </c>
      <c r="O23" s="20">
        <v>48.75</v>
      </c>
      <c r="P23" s="16">
        <v>39090.0</v>
      </c>
      <c r="Q23" s="16">
        <v>48890.0</v>
      </c>
      <c r="R23" s="16">
        <v>72680.0</v>
      </c>
      <c r="S23" s="16">
        <v>86750.0</v>
      </c>
      <c r="T23" s="16">
        <v>101400.0</v>
      </c>
      <c r="U23" s="16">
        <f t="shared" si="3"/>
        <v>-0.77</v>
      </c>
      <c r="V23" s="21">
        <f t="shared" si="4"/>
        <v>-2.203777905</v>
      </c>
      <c r="W23" s="22">
        <f t="shared" si="5"/>
        <v>2.594465141</v>
      </c>
      <c r="X23" s="24" t="str">
        <f t="shared" si="6"/>
        <v>OK</v>
      </c>
    </row>
    <row r="24" ht="15.75" customHeight="1">
      <c r="A24" s="14" t="s">
        <v>85</v>
      </c>
      <c r="B24" s="15" t="s">
        <v>86</v>
      </c>
      <c r="C24" s="16">
        <v>12970.0</v>
      </c>
      <c r="D24" s="17">
        <v>4.7</v>
      </c>
      <c r="E24" s="18" t="str">
        <f t="shared" si="1"/>
        <v>Low</v>
      </c>
      <c r="F24" s="19">
        <v>4.44</v>
      </c>
      <c r="G24" s="20">
        <v>39.92</v>
      </c>
      <c r="H24" s="16">
        <v>83030.0</v>
      </c>
      <c r="I24" s="17">
        <v>2.1</v>
      </c>
      <c r="J24" s="18" t="str">
        <f t="shared" si="2"/>
        <v>Moderate</v>
      </c>
      <c r="K24" s="20">
        <v>22.82</v>
      </c>
      <c r="L24" s="20">
        <v>29.26</v>
      </c>
      <c r="M24" s="20">
        <v>39.15</v>
      </c>
      <c r="N24" s="20">
        <v>49.43</v>
      </c>
      <c r="O24" s="20">
        <v>54.95</v>
      </c>
      <c r="P24" s="16">
        <v>47470.0</v>
      </c>
      <c r="Q24" s="16">
        <v>60860.0</v>
      </c>
      <c r="R24" s="16">
        <v>81430.0</v>
      </c>
      <c r="S24" s="16">
        <v>102820.0</v>
      </c>
      <c r="T24" s="16">
        <v>114300.0</v>
      </c>
      <c r="U24" s="16">
        <f t="shared" si="3"/>
        <v>0.77</v>
      </c>
      <c r="V24" s="21">
        <f t="shared" si="4"/>
        <v>1.966794381</v>
      </c>
      <c r="W24" s="22">
        <f t="shared" si="5"/>
        <v>2.40797546</v>
      </c>
      <c r="X24" s="24" t="str">
        <f t="shared" si="6"/>
        <v>OK</v>
      </c>
    </row>
    <row r="25" ht="15.75" customHeight="1">
      <c r="A25" s="14" t="s">
        <v>87</v>
      </c>
      <c r="B25" s="15" t="s">
        <v>88</v>
      </c>
      <c r="C25" s="16">
        <v>5650.0</v>
      </c>
      <c r="D25" s="17">
        <v>3.8</v>
      </c>
      <c r="E25" s="18" t="str">
        <f t="shared" si="1"/>
        <v>Low</v>
      </c>
      <c r="F25" s="19">
        <v>4.876</v>
      </c>
      <c r="G25" s="20">
        <v>26.35</v>
      </c>
      <c r="H25" s="16">
        <v>54810.0</v>
      </c>
      <c r="I25" s="17">
        <v>1.2</v>
      </c>
      <c r="J25" s="18" t="str">
        <f t="shared" si="2"/>
        <v>Low</v>
      </c>
      <c r="K25" s="20">
        <v>17.72</v>
      </c>
      <c r="L25" s="20">
        <v>21.71</v>
      </c>
      <c r="M25" s="20">
        <v>27.55</v>
      </c>
      <c r="N25" s="20">
        <v>29.27</v>
      </c>
      <c r="O25" s="20">
        <v>34.87</v>
      </c>
      <c r="P25" s="16">
        <v>36850.0</v>
      </c>
      <c r="Q25" s="16">
        <v>45160.0</v>
      </c>
      <c r="R25" s="16">
        <v>57300.0</v>
      </c>
      <c r="S25" s="16">
        <v>60870.0</v>
      </c>
      <c r="T25" s="16">
        <v>72520.0</v>
      </c>
      <c r="U25" s="16">
        <f t="shared" si="3"/>
        <v>-1.2</v>
      </c>
      <c r="V25" s="21">
        <f t="shared" si="4"/>
        <v>-4.355716878</v>
      </c>
      <c r="W25" s="22">
        <f t="shared" si="5"/>
        <v>1.967832957</v>
      </c>
      <c r="X25" s="24" t="str">
        <f t="shared" si="6"/>
        <v>OK</v>
      </c>
    </row>
    <row r="26" ht="15.75" customHeight="1">
      <c r="A26" s="14" t="s">
        <v>89</v>
      </c>
      <c r="B26" s="15" t="s">
        <v>90</v>
      </c>
      <c r="C26" s="16">
        <v>12660.0</v>
      </c>
      <c r="D26" s="17">
        <v>4.8</v>
      </c>
      <c r="E26" s="18" t="str">
        <f t="shared" si="1"/>
        <v>Low</v>
      </c>
      <c r="F26" s="19">
        <v>4.337</v>
      </c>
      <c r="G26" s="20">
        <v>34.24</v>
      </c>
      <c r="H26" s="16">
        <v>71230.0</v>
      </c>
      <c r="I26" s="17">
        <v>1.7</v>
      </c>
      <c r="J26" s="18" t="str">
        <f t="shared" si="2"/>
        <v>Low</v>
      </c>
      <c r="K26" s="20">
        <v>18.87</v>
      </c>
      <c r="L26" s="20">
        <v>23.43</v>
      </c>
      <c r="M26" s="20">
        <v>34.11</v>
      </c>
      <c r="N26" s="20">
        <v>44.08</v>
      </c>
      <c r="O26" s="20">
        <v>48.85</v>
      </c>
      <c r="P26" s="16">
        <v>39240.0</v>
      </c>
      <c r="Q26" s="16">
        <v>48740.0</v>
      </c>
      <c r="R26" s="16">
        <v>70950.0</v>
      </c>
      <c r="S26" s="16">
        <v>91690.0</v>
      </c>
      <c r="T26" s="16">
        <v>101620.0</v>
      </c>
      <c r="U26" s="16">
        <f t="shared" si="3"/>
        <v>0.13</v>
      </c>
      <c r="V26" s="21">
        <f t="shared" si="4"/>
        <v>0.3811199062</v>
      </c>
      <c r="W26" s="22">
        <f t="shared" si="5"/>
        <v>2.588765236</v>
      </c>
      <c r="X26" s="24" t="str">
        <f t="shared" si="6"/>
        <v>OK</v>
      </c>
    </row>
    <row r="27" ht="15.75" customHeight="1">
      <c r="A27" s="14" t="s">
        <v>91</v>
      </c>
      <c r="B27" s="15" t="s">
        <v>92</v>
      </c>
      <c r="C27" s="16">
        <v>2830.0</v>
      </c>
      <c r="D27" s="17">
        <v>3.8</v>
      </c>
      <c r="E27" s="18" t="str">
        <f t="shared" si="1"/>
        <v>Low</v>
      </c>
      <c r="F27" s="19">
        <v>5.543</v>
      </c>
      <c r="G27" s="20">
        <v>32.73</v>
      </c>
      <c r="H27" s="16">
        <v>68080.0</v>
      </c>
      <c r="I27" s="17">
        <v>1.0</v>
      </c>
      <c r="J27" s="18" t="str">
        <f t="shared" si="2"/>
        <v>Low</v>
      </c>
      <c r="K27" s="20">
        <v>23.09</v>
      </c>
      <c r="L27" s="20">
        <v>26.44</v>
      </c>
      <c r="M27" s="20">
        <v>33.16</v>
      </c>
      <c r="N27" s="20">
        <v>37.76</v>
      </c>
      <c r="O27" s="20">
        <v>41.11</v>
      </c>
      <c r="P27" s="16">
        <v>48030.0</v>
      </c>
      <c r="Q27" s="16">
        <v>54980.0</v>
      </c>
      <c r="R27" s="16">
        <v>68980.0</v>
      </c>
      <c r="S27" s="16">
        <v>78540.0</v>
      </c>
      <c r="T27" s="16">
        <v>85520.0</v>
      </c>
      <c r="U27" s="16">
        <f t="shared" si="3"/>
        <v>-0.43</v>
      </c>
      <c r="V27" s="21">
        <f t="shared" si="4"/>
        <v>-1.296743064</v>
      </c>
      <c r="W27" s="22">
        <f t="shared" si="5"/>
        <v>1.780424426</v>
      </c>
      <c r="X27" s="24" t="str">
        <f t="shared" si="6"/>
        <v>OK</v>
      </c>
    </row>
    <row r="28" ht="15.75" customHeight="1">
      <c r="A28" s="14" t="s">
        <v>93</v>
      </c>
      <c r="B28" s="15" t="s">
        <v>94</v>
      </c>
      <c r="C28" s="16">
        <v>6210.0</v>
      </c>
      <c r="D28" s="17">
        <v>5.3</v>
      </c>
      <c r="E28" s="18" t="str">
        <f t="shared" si="1"/>
        <v>Moderate</v>
      </c>
      <c r="F28" s="19">
        <v>6.108</v>
      </c>
      <c r="G28" s="20">
        <v>29.76</v>
      </c>
      <c r="H28" s="16">
        <v>61890.0</v>
      </c>
      <c r="I28" s="17">
        <v>1.3</v>
      </c>
      <c r="J28" s="18" t="str">
        <f t="shared" si="2"/>
        <v>Low</v>
      </c>
      <c r="K28" s="20">
        <v>18.65</v>
      </c>
      <c r="L28" s="20">
        <v>22.91</v>
      </c>
      <c r="M28" s="20">
        <v>28.86</v>
      </c>
      <c r="N28" s="20">
        <v>36.82</v>
      </c>
      <c r="O28" s="20">
        <v>43.78</v>
      </c>
      <c r="P28" s="16">
        <v>38800.0</v>
      </c>
      <c r="Q28" s="16">
        <v>47640.0</v>
      </c>
      <c r="R28" s="16">
        <v>60020.0</v>
      </c>
      <c r="S28" s="16">
        <v>76590.0</v>
      </c>
      <c r="T28" s="16">
        <v>91060.0</v>
      </c>
      <c r="U28" s="16">
        <f t="shared" si="3"/>
        <v>0.9</v>
      </c>
      <c r="V28" s="21">
        <f t="shared" si="4"/>
        <v>3.118503119</v>
      </c>
      <c r="W28" s="22">
        <f t="shared" si="5"/>
        <v>2.347453083</v>
      </c>
      <c r="X28" s="24" t="str">
        <f t="shared" si="6"/>
        <v>OK</v>
      </c>
    </row>
    <row r="29" ht="15.75" customHeight="1">
      <c r="A29" s="14" t="s">
        <v>95</v>
      </c>
      <c r="B29" s="15" t="s">
        <v>96</v>
      </c>
      <c r="C29" s="16">
        <v>8570.0</v>
      </c>
      <c r="D29" s="17">
        <v>7.4</v>
      </c>
      <c r="E29" s="18" t="str">
        <f t="shared" si="1"/>
        <v>Moderate</v>
      </c>
      <c r="F29" s="19">
        <v>5.601</v>
      </c>
      <c r="G29" s="20">
        <v>34.67</v>
      </c>
      <c r="H29" s="16">
        <v>72120.0</v>
      </c>
      <c r="I29" s="17">
        <v>3.9</v>
      </c>
      <c r="J29" s="18" t="str">
        <f t="shared" si="2"/>
        <v>Moderate</v>
      </c>
      <c r="K29" s="20">
        <v>21.72</v>
      </c>
      <c r="L29" s="20">
        <v>23.0</v>
      </c>
      <c r="M29" s="20">
        <v>31.22</v>
      </c>
      <c r="N29" s="20">
        <v>44.2</v>
      </c>
      <c r="O29" s="20">
        <v>54.99</v>
      </c>
      <c r="P29" s="16">
        <v>45180.0</v>
      </c>
      <c r="Q29" s="16">
        <v>47840.0</v>
      </c>
      <c r="R29" s="16">
        <v>64950.0</v>
      </c>
      <c r="S29" s="16">
        <v>91930.0</v>
      </c>
      <c r="T29" s="16">
        <v>114380.0</v>
      </c>
      <c r="U29" s="16">
        <f t="shared" si="3"/>
        <v>3.45</v>
      </c>
      <c r="V29" s="21">
        <f t="shared" si="4"/>
        <v>11.05060858</v>
      </c>
      <c r="W29" s="22">
        <f t="shared" si="5"/>
        <v>2.531767956</v>
      </c>
      <c r="X29" s="24" t="str">
        <f t="shared" si="6"/>
        <v>OK</v>
      </c>
    </row>
    <row r="30" ht="15.75" customHeight="1">
      <c r="A30" s="14" t="s">
        <v>99</v>
      </c>
      <c r="B30" s="15" t="s">
        <v>100</v>
      </c>
      <c r="C30" s="16">
        <v>3480.0</v>
      </c>
      <c r="D30" s="17">
        <v>6.5</v>
      </c>
      <c r="E30" s="18" t="str">
        <f t="shared" si="1"/>
        <v>Moderate</v>
      </c>
      <c r="F30" s="19">
        <v>5.092</v>
      </c>
      <c r="G30" s="20">
        <v>30.5</v>
      </c>
      <c r="H30" s="16">
        <v>63440.0</v>
      </c>
      <c r="I30" s="17">
        <v>2.1</v>
      </c>
      <c r="J30" s="18" t="str">
        <f t="shared" si="2"/>
        <v>Moderate</v>
      </c>
      <c r="K30" s="20">
        <v>18.29</v>
      </c>
      <c r="L30" s="20">
        <v>23.14</v>
      </c>
      <c r="M30" s="20">
        <v>29.8</v>
      </c>
      <c r="N30" s="20">
        <v>36.72</v>
      </c>
      <c r="O30" s="20">
        <v>43.4</v>
      </c>
      <c r="P30" s="16">
        <v>38040.0</v>
      </c>
      <c r="Q30" s="16">
        <v>48120.0</v>
      </c>
      <c r="R30" s="16">
        <v>61990.0</v>
      </c>
      <c r="S30" s="16">
        <v>76370.0</v>
      </c>
      <c r="T30" s="16">
        <v>90270.0</v>
      </c>
      <c r="U30" s="16">
        <f t="shared" si="3"/>
        <v>0.7</v>
      </c>
      <c r="V30" s="21">
        <f t="shared" si="4"/>
        <v>2.348993289</v>
      </c>
      <c r="W30" s="22">
        <f t="shared" si="5"/>
        <v>2.372881356</v>
      </c>
      <c r="X30" s="24" t="str">
        <f t="shared" si="6"/>
        <v>OK</v>
      </c>
    </row>
    <row r="31" ht="15.75" customHeight="1">
      <c r="A31" s="14" t="s">
        <v>101</v>
      </c>
      <c r="B31" s="15" t="s">
        <v>102</v>
      </c>
      <c r="C31" s="16">
        <v>15230.0</v>
      </c>
      <c r="D31" s="17">
        <v>6.4</v>
      </c>
      <c r="E31" s="18" t="str">
        <f t="shared" si="1"/>
        <v>Moderate</v>
      </c>
      <c r="F31" s="19">
        <v>3.583</v>
      </c>
      <c r="G31" s="20">
        <v>38.51</v>
      </c>
      <c r="H31" s="16">
        <v>80090.0</v>
      </c>
      <c r="I31" s="17">
        <v>2.4</v>
      </c>
      <c r="J31" s="18" t="str">
        <f t="shared" si="2"/>
        <v>Moderate</v>
      </c>
      <c r="K31" s="20">
        <v>18.49</v>
      </c>
      <c r="L31" s="20">
        <v>28.08</v>
      </c>
      <c r="M31" s="20">
        <v>35.14</v>
      </c>
      <c r="N31" s="20">
        <v>52.77</v>
      </c>
      <c r="O31" s="20">
        <v>62.11</v>
      </c>
      <c r="P31" s="16">
        <v>38470.0</v>
      </c>
      <c r="Q31" s="16">
        <v>58410.0</v>
      </c>
      <c r="R31" s="16">
        <v>73090.0</v>
      </c>
      <c r="S31" s="16">
        <v>109760.0</v>
      </c>
      <c r="T31" s="16">
        <v>129190.0</v>
      </c>
      <c r="U31" s="16">
        <f t="shared" si="3"/>
        <v>3.37</v>
      </c>
      <c r="V31" s="21">
        <f t="shared" si="4"/>
        <v>9.590210586</v>
      </c>
      <c r="W31" s="22">
        <f t="shared" si="5"/>
        <v>3.359113034</v>
      </c>
      <c r="X31" s="24" t="str">
        <f t="shared" si="6"/>
        <v>OK</v>
      </c>
    </row>
    <row r="32" ht="15.75" customHeight="1">
      <c r="A32" s="14" t="s">
        <v>103</v>
      </c>
      <c r="B32" s="15" t="s">
        <v>104</v>
      </c>
      <c r="C32" s="16">
        <v>5090.0</v>
      </c>
      <c r="D32" s="17">
        <v>6.0</v>
      </c>
      <c r="E32" s="18" t="str">
        <f t="shared" si="1"/>
        <v>Moderate</v>
      </c>
      <c r="F32" s="19">
        <v>5.911</v>
      </c>
      <c r="G32" s="20">
        <v>28.57</v>
      </c>
      <c r="H32" s="16">
        <v>59420.0</v>
      </c>
      <c r="I32" s="17">
        <v>1.8</v>
      </c>
      <c r="J32" s="18" t="str">
        <f t="shared" si="2"/>
        <v>Low</v>
      </c>
      <c r="K32" s="20">
        <v>17.59</v>
      </c>
      <c r="L32" s="20">
        <v>21.66</v>
      </c>
      <c r="M32" s="20">
        <v>27.35</v>
      </c>
      <c r="N32" s="20">
        <v>35.32</v>
      </c>
      <c r="O32" s="20">
        <v>40.61</v>
      </c>
      <c r="P32" s="16">
        <v>36590.0</v>
      </c>
      <c r="Q32" s="16">
        <v>45050.0</v>
      </c>
      <c r="R32" s="16">
        <v>56890.0</v>
      </c>
      <c r="S32" s="16">
        <v>73470.0</v>
      </c>
      <c r="T32" s="16">
        <v>84460.0</v>
      </c>
      <c r="U32" s="16">
        <f t="shared" si="3"/>
        <v>1.22</v>
      </c>
      <c r="V32" s="21">
        <f t="shared" si="4"/>
        <v>4.460694698</v>
      </c>
      <c r="W32" s="22">
        <f t="shared" si="5"/>
        <v>2.308698124</v>
      </c>
      <c r="X32" s="24" t="str">
        <f t="shared" si="6"/>
        <v>OK</v>
      </c>
    </row>
    <row r="33" ht="15.75" customHeight="1">
      <c r="A33" s="14" t="s">
        <v>106</v>
      </c>
      <c r="B33" s="15" t="s">
        <v>107</v>
      </c>
      <c r="C33" s="16">
        <v>40380.0</v>
      </c>
      <c r="D33" s="17">
        <v>4.0</v>
      </c>
      <c r="E33" s="18" t="str">
        <f t="shared" si="1"/>
        <v>Low</v>
      </c>
      <c r="F33" s="19">
        <v>4.232</v>
      </c>
      <c r="G33" s="20">
        <v>40.07</v>
      </c>
      <c r="H33" s="16">
        <v>83350.0</v>
      </c>
      <c r="I33" s="17">
        <v>2.3</v>
      </c>
      <c r="J33" s="18" t="str">
        <f t="shared" si="2"/>
        <v>Moderate</v>
      </c>
      <c r="K33" s="20">
        <v>22.66</v>
      </c>
      <c r="L33" s="20">
        <v>29.0</v>
      </c>
      <c r="M33" s="20">
        <v>37.24</v>
      </c>
      <c r="N33" s="20">
        <v>49.71</v>
      </c>
      <c r="O33" s="20">
        <v>63.68</v>
      </c>
      <c r="P33" s="16">
        <v>47140.0</v>
      </c>
      <c r="Q33" s="16">
        <v>60310.0</v>
      </c>
      <c r="R33" s="16">
        <v>77460.0</v>
      </c>
      <c r="S33" s="16">
        <v>103390.0</v>
      </c>
      <c r="T33" s="16">
        <v>132450.0</v>
      </c>
      <c r="U33" s="16">
        <f t="shared" si="3"/>
        <v>2.83</v>
      </c>
      <c r="V33" s="21">
        <f t="shared" si="4"/>
        <v>7.599355532</v>
      </c>
      <c r="W33" s="22">
        <f t="shared" si="5"/>
        <v>2.810238305</v>
      </c>
      <c r="X33" s="24" t="str">
        <f t="shared" si="6"/>
        <v>OK</v>
      </c>
    </row>
    <row r="34" ht="15.75" customHeight="1">
      <c r="A34" s="14" t="s">
        <v>110</v>
      </c>
      <c r="B34" s="15" t="s">
        <v>111</v>
      </c>
      <c r="C34" s="16">
        <v>23660.0</v>
      </c>
      <c r="D34" s="17">
        <v>3.8</v>
      </c>
      <c r="E34" s="18" t="str">
        <f t="shared" si="1"/>
        <v>Low</v>
      </c>
      <c r="F34" s="19">
        <v>4.831</v>
      </c>
      <c r="G34" s="20">
        <v>26.62</v>
      </c>
      <c r="H34" s="16">
        <v>55370.0</v>
      </c>
      <c r="I34" s="17">
        <v>1.0</v>
      </c>
      <c r="J34" s="18" t="str">
        <f t="shared" si="2"/>
        <v>Low</v>
      </c>
      <c r="K34" s="20">
        <v>18.61</v>
      </c>
      <c r="L34" s="20">
        <v>22.6</v>
      </c>
      <c r="M34" s="20">
        <v>26.0</v>
      </c>
      <c r="N34" s="20">
        <v>29.51</v>
      </c>
      <c r="O34" s="20">
        <v>34.7</v>
      </c>
      <c r="P34" s="16">
        <v>38700.0</v>
      </c>
      <c r="Q34" s="16">
        <v>47000.0</v>
      </c>
      <c r="R34" s="16">
        <v>54070.0</v>
      </c>
      <c r="S34" s="16">
        <v>61380.0</v>
      </c>
      <c r="T34" s="16">
        <v>72170.0</v>
      </c>
      <c r="U34" s="16">
        <f t="shared" si="3"/>
        <v>0.62</v>
      </c>
      <c r="V34" s="21">
        <f t="shared" si="4"/>
        <v>2.384615385</v>
      </c>
      <c r="W34" s="22">
        <f t="shared" si="5"/>
        <v>1.864588931</v>
      </c>
      <c r="X34" s="24" t="str">
        <f t="shared" si="6"/>
        <v>OK</v>
      </c>
    </row>
    <row r="35" ht="15.75" customHeight="1">
      <c r="A35" s="14" t="s">
        <v>113</v>
      </c>
      <c r="B35" s="15" t="s">
        <v>115</v>
      </c>
      <c r="C35" s="16">
        <v>3150.0</v>
      </c>
      <c r="D35" s="17">
        <v>5.9</v>
      </c>
      <c r="E35" s="18" t="str">
        <f t="shared" si="1"/>
        <v>Moderate</v>
      </c>
      <c r="F35" s="19">
        <v>7.417</v>
      </c>
      <c r="G35" s="20">
        <v>33.81</v>
      </c>
      <c r="H35" s="16">
        <v>70330.0</v>
      </c>
      <c r="I35" s="17">
        <v>2.2</v>
      </c>
      <c r="J35" s="18" t="str">
        <f t="shared" si="2"/>
        <v>Moderate</v>
      </c>
      <c r="K35" s="20">
        <v>19.15</v>
      </c>
      <c r="L35" s="20">
        <v>25.31</v>
      </c>
      <c r="M35" s="20">
        <v>31.65</v>
      </c>
      <c r="N35" s="20">
        <v>39.36</v>
      </c>
      <c r="O35" s="20">
        <v>48.75</v>
      </c>
      <c r="P35" s="16">
        <v>39830.0</v>
      </c>
      <c r="Q35" s="16">
        <v>52640.0</v>
      </c>
      <c r="R35" s="16">
        <v>65820.0</v>
      </c>
      <c r="S35" s="16">
        <v>81860.0</v>
      </c>
      <c r="T35" s="16">
        <v>101400.0</v>
      </c>
      <c r="U35" s="16">
        <f t="shared" si="3"/>
        <v>2.16</v>
      </c>
      <c r="V35" s="21">
        <f t="shared" si="4"/>
        <v>6.82464455</v>
      </c>
      <c r="W35" s="22">
        <f t="shared" si="5"/>
        <v>2.545691906</v>
      </c>
      <c r="X35" s="24" t="str">
        <f t="shared" si="6"/>
        <v>OK</v>
      </c>
    </row>
    <row r="36" ht="15.75" customHeight="1">
      <c r="A36" s="14" t="s">
        <v>122</v>
      </c>
      <c r="B36" s="15" t="s">
        <v>123</v>
      </c>
      <c r="C36" s="16">
        <v>27150.0</v>
      </c>
      <c r="D36" s="17">
        <v>2.5</v>
      </c>
      <c r="E36" s="18" t="str">
        <f t="shared" si="1"/>
        <v>Low</v>
      </c>
      <c r="F36" s="19">
        <v>4.913</v>
      </c>
      <c r="G36" s="20">
        <v>31.71</v>
      </c>
      <c r="H36" s="16">
        <v>65970.0</v>
      </c>
      <c r="I36" s="17">
        <v>1.3</v>
      </c>
      <c r="J36" s="18" t="str">
        <f t="shared" si="2"/>
        <v>Low</v>
      </c>
      <c r="K36" s="20">
        <v>18.13</v>
      </c>
      <c r="L36" s="20">
        <v>23.26</v>
      </c>
      <c r="M36" s="20">
        <v>30.56</v>
      </c>
      <c r="N36" s="20">
        <v>38.41</v>
      </c>
      <c r="O36" s="20">
        <v>45.01</v>
      </c>
      <c r="P36" s="16">
        <v>37710.0</v>
      </c>
      <c r="Q36" s="16">
        <v>48380.0</v>
      </c>
      <c r="R36" s="16">
        <v>63560.0</v>
      </c>
      <c r="S36" s="16">
        <v>79890.0</v>
      </c>
      <c r="T36" s="16">
        <v>93630.0</v>
      </c>
      <c r="U36" s="16">
        <f t="shared" si="3"/>
        <v>1.15</v>
      </c>
      <c r="V36" s="21">
        <f t="shared" si="4"/>
        <v>3.763089005</v>
      </c>
      <c r="W36" s="22">
        <f t="shared" si="5"/>
        <v>2.482625483</v>
      </c>
      <c r="X36" s="24" t="str">
        <f t="shared" si="6"/>
        <v>OK</v>
      </c>
    </row>
    <row r="37" ht="15.75" customHeight="1">
      <c r="A37" s="14" t="s">
        <v>124</v>
      </c>
      <c r="B37" s="15" t="s">
        <v>119</v>
      </c>
      <c r="C37" s="16">
        <v>8550.0</v>
      </c>
      <c r="D37" s="17">
        <v>5.6</v>
      </c>
      <c r="E37" s="18" t="str">
        <f t="shared" si="1"/>
        <v>Moderate</v>
      </c>
      <c r="F37" s="19">
        <v>5.052</v>
      </c>
      <c r="G37" s="20">
        <v>30.21</v>
      </c>
      <c r="H37" s="16">
        <v>62850.0</v>
      </c>
      <c r="I37" s="17">
        <v>1.7</v>
      </c>
      <c r="J37" s="18" t="str">
        <f t="shared" si="2"/>
        <v>Low</v>
      </c>
      <c r="K37" s="20">
        <v>17.83</v>
      </c>
      <c r="L37" s="20">
        <v>22.91</v>
      </c>
      <c r="M37" s="20">
        <v>28.87</v>
      </c>
      <c r="N37" s="20">
        <v>36.15</v>
      </c>
      <c r="O37" s="20">
        <v>42.71</v>
      </c>
      <c r="P37" s="16">
        <v>37080.0</v>
      </c>
      <c r="Q37" s="16">
        <v>47640.0</v>
      </c>
      <c r="R37" s="16">
        <v>60050.0</v>
      </c>
      <c r="S37" s="16">
        <v>75200.0</v>
      </c>
      <c r="T37" s="16">
        <v>88840.0</v>
      </c>
      <c r="U37" s="16">
        <f t="shared" si="3"/>
        <v>1.34</v>
      </c>
      <c r="V37" s="21">
        <f t="shared" si="4"/>
        <v>4.641496363</v>
      </c>
      <c r="W37" s="22">
        <f t="shared" si="5"/>
        <v>2.39540101</v>
      </c>
      <c r="X37" s="24" t="str">
        <f t="shared" si="6"/>
        <v>OK</v>
      </c>
    </row>
    <row r="38" ht="15.75" customHeight="1">
      <c r="A38" s="14" t="s">
        <v>125</v>
      </c>
      <c r="B38" s="15" t="s">
        <v>109</v>
      </c>
      <c r="C38" s="16">
        <v>9830.0</v>
      </c>
      <c r="D38" s="17">
        <v>3.0</v>
      </c>
      <c r="E38" s="18" t="str">
        <f t="shared" si="1"/>
        <v>Low</v>
      </c>
      <c r="F38" s="19">
        <v>5.0</v>
      </c>
      <c r="G38" s="20">
        <v>44.21</v>
      </c>
      <c r="H38" s="16">
        <v>91950.0</v>
      </c>
      <c r="I38" s="17">
        <v>1.1</v>
      </c>
      <c r="J38" s="18" t="str">
        <f t="shared" si="2"/>
        <v>Low</v>
      </c>
      <c r="K38" s="20">
        <v>24.88</v>
      </c>
      <c r="L38" s="20">
        <v>33.98</v>
      </c>
      <c r="M38" s="20">
        <v>46.79</v>
      </c>
      <c r="N38" s="20">
        <v>55.84</v>
      </c>
      <c r="O38" s="20">
        <v>58.12</v>
      </c>
      <c r="P38" s="16">
        <v>51740.0</v>
      </c>
      <c r="Q38" s="16">
        <v>70680.0</v>
      </c>
      <c r="R38" s="16">
        <v>97320.0</v>
      </c>
      <c r="S38" s="16">
        <v>116140.0</v>
      </c>
      <c r="T38" s="16">
        <v>120880.0</v>
      </c>
      <c r="U38" s="16">
        <f t="shared" si="3"/>
        <v>-2.58</v>
      </c>
      <c r="V38" s="21">
        <f t="shared" si="4"/>
        <v>-5.513998718</v>
      </c>
      <c r="W38" s="22">
        <f t="shared" si="5"/>
        <v>2.336012862</v>
      </c>
      <c r="X38" s="24" t="str">
        <f t="shared" si="6"/>
        <v>OK</v>
      </c>
    </row>
    <row r="39" ht="15.75" customHeight="1">
      <c r="A39" s="14" t="s">
        <v>126</v>
      </c>
      <c r="B39" s="15" t="s">
        <v>127</v>
      </c>
      <c r="C39" s="16">
        <v>21860.0</v>
      </c>
      <c r="D39" s="17">
        <v>4.0</v>
      </c>
      <c r="E39" s="18" t="str">
        <f t="shared" si="1"/>
        <v>Low</v>
      </c>
      <c r="F39" s="19">
        <v>3.635</v>
      </c>
      <c r="G39" s="20">
        <v>35.34</v>
      </c>
      <c r="H39" s="16">
        <v>73510.0</v>
      </c>
      <c r="I39" s="17">
        <v>2.4</v>
      </c>
      <c r="J39" s="18" t="str">
        <f t="shared" si="2"/>
        <v>Moderate</v>
      </c>
      <c r="K39" s="20">
        <v>21.52</v>
      </c>
      <c r="L39" s="20">
        <v>24.96</v>
      </c>
      <c r="M39" s="20">
        <v>31.44</v>
      </c>
      <c r="N39" s="20">
        <v>42.15</v>
      </c>
      <c r="O39" s="20">
        <v>52.56</v>
      </c>
      <c r="P39" s="16">
        <v>44760.0</v>
      </c>
      <c r="Q39" s="16">
        <v>51910.0</v>
      </c>
      <c r="R39" s="16">
        <v>65400.0</v>
      </c>
      <c r="S39" s="16">
        <v>87670.0</v>
      </c>
      <c r="T39" s="16">
        <v>109320.0</v>
      </c>
      <c r="U39" s="16">
        <f t="shared" si="3"/>
        <v>3.9</v>
      </c>
      <c r="V39" s="21">
        <f t="shared" si="4"/>
        <v>12.40458015</v>
      </c>
      <c r="W39" s="22">
        <f t="shared" si="5"/>
        <v>2.442379182</v>
      </c>
      <c r="X39" s="24" t="str">
        <f t="shared" si="6"/>
        <v>OK</v>
      </c>
    </row>
    <row r="40" ht="15.75" customHeight="1">
      <c r="A40" s="14" t="s">
        <v>128</v>
      </c>
      <c r="B40" s="15" t="s">
        <v>114</v>
      </c>
      <c r="C40" s="16">
        <v>2300.0</v>
      </c>
      <c r="D40" s="17">
        <v>8.6</v>
      </c>
      <c r="E40" s="26" t="str">
        <f t="shared" si="1"/>
        <v>High</v>
      </c>
      <c r="F40" s="19">
        <v>4.667</v>
      </c>
      <c r="G40" s="20">
        <v>34.02</v>
      </c>
      <c r="H40" s="16">
        <v>70760.0</v>
      </c>
      <c r="I40" s="17">
        <v>4.1</v>
      </c>
      <c r="J40" s="26" t="str">
        <f t="shared" si="2"/>
        <v>High</v>
      </c>
      <c r="K40" s="20">
        <v>20.33</v>
      </c>
      <c r="L40" s="20">
        <v>22.85</v>
      </c>
      <c r="M40" s="20">
        <v>33.73</v>
      </c>
      <c r="N40" s="20">
        <v>42.61</v>
      </c>
      <c r="O40" s="20">
        <v>49.94</v>
      </c>
      <c r="P40" s="16">
        <v>42280.0</v>
      </c>
      <c r="Q40" s="16">
        <v>47530.0</v>
      </c>
      <c r="R40" s="16">
        <v>70160.0</v>
      </c>
      <c r="S40" s="16">
        <v>88630.0</v>
      </c>
      <c r="T40" s="16">
        <v>103880.0</v>
      </c>
      <c r="U40" s="16">
        <f t="shared" si="3"/>
        <v>0.29</v>
      </c>
      <c r="V40" s="21">
        <f t="shared" si="4"/>
        <v>0.8597687519</v>
      </c>
      <c r="W40" s="22">
        <f t="shared" si="5"/>
        <v>2.456468273</v>
      </c>
      <c r="X40" s="24" t="str">
        <f t="shared" si="6"/>
        <v>⚠ Use with caution</v>
      </c>
    </row>
    <row r="41" ht="15.75" customHeight="1">
      <c r="A41" s="14" t="s">
        <v>129</v>
      </c>
      <c r="B41" s="15" t="s">
        <v>112</v>
      </c>
      <c r="C41" s="16">
        <v>7830.0</v>
      </c>
      <c r="D41" s="17">
        <v>4.1</v>
      </c>
      <c r="E41" s="18" t="str">
        <f t="shared" si="1"/>
        <v>Low</v>
      </c>
      <c r="F41" s="19">
        <v>3.446</v>
      </c>
      <c r="G41" s="20">
        <v>28.09</v>
      </c>
      <c r="H41" s="16">
        <v>58420.0</v>
      </c>
      <c r="I41" s="17">
        <v>1.2</v>
      </c>
      <c r="J41" s="18" t="str">
        <f t="shared" si="2"/>
        <v>Low</v>
      </c>
      <c r="K41" s="20">
        <v>19.19</v>
      </c>
      <c r="L41" s="20">
        <v>22.69</v>
      </c>
      <c r="M41" s="20">
        <v>28.01</v>
      </c>
      <c r="N41" s="20">
        <v>31.26</v>
      </c>
      <c r="O41" s="20">
        <v>36.65</v>
      </c>
      <c r="P41" s="16">
        <v>39910.0</v>
      </c>
      <c r="Q41" s="16">
        <v>47200.0</v>
      </c>
      <c r="R41" s="16">
        <v>58260.0</v>
      </c>
      <c r="S41" s="16">
        <v>65010.0</v>
      </c>
      <c r="T41" s="16">
        <v>76230.0</v>
      </c>
      <c r="U41" s="16">
        <f t="shared" si="3"/>
        <v>0.08</v>
      </c>
      <c r="V41" s="21">
        <f t="shared" si="4"/>
        <v>0.2856122813</v>
      </c>
      <c r="W41" s="22">
        <f t="shared" si="5"/>
        <v>1.90984888</v>
      </c>
      <c r="X41" s="24" t="str">
        <f t="shared" si="6"/>
        <v>OK</v>
      </c>
    </row>
    <row r="42" ht="15.75" customHeight="1">
      <c r="A42" s="14" t="s">
        <v>130</v>
      </c>
      <c r="B42" s="15" t="s">
        <v>118</v>
      </c>
      <c r="C42" s="16">
        <v>2790.0</v>
      </c>
      <c r="D42" s="17">
        <v>4.5</v>
      </c>
      <c r="E42" s="18" t="str">
        <f t="shared" si="1"/>
        <v>Low</v>
      </c>
      <c r="F42" s="19">
        <v>6.158</v>
      </c>
      <c r="G42" s="20">
        <v>27.72</v>
      </c>
      <c r="H42" s="16">
        <v>57660.0</v>
      </c>
      <c r="I42" s="17">
        <v>1.0</v>
      </c>
      <c r="J42" s="18" t="str">
        <f t="shared" si="2"/>
        <v>Low</v>
      </c>
      <c r="K42" s="20">
        <v>19.93</v>
      </c>
      <c r="L42" s="20">
        <v>22.54</v>
      </c>
      <c r="M42" s="20">
        <v>28.15</v>
      </c>
      <c r="N42" s="20">
        <v>31.07</v>
      </c>
      <c r="O42" s="20">
        <v>37.49</v>
      </c>
      <c r="P42" s="16">
        <v>41450.0</v>
      </c>
      <c r="Q42" s="16">
        <v>46890.0</v>
      </c>
      <c r="R42" s="16">
        <v>58550.0</v>
      </c>
      <c r="S42" s="16">
        <v>64630.0</v>
      </c>
      <c r="T42" s="16">
        <v>77980.0</v>
      </c>
      <c r="U42" s="16">
        <f t="shared" si="3"/>
        <v>-0.43</v>
      </c>
      <c r="V42" s="21">
        <f t="shared" si="4"/>
        <v>-1.527531083</v>
      </c>
      <c r="W42" s="22">
        <f t="shared" si="5"/>
        <v>1.881083793</v>
      </c>
      <c r="X42" s="24" t="str">
        <f t="shared" si="6"/>
        <v>OK</v>
      </c>
    </row>
    <row r="43" ht="15.75" customHeight="1">
      <c r="A43" s="14" t="s">
        <v>131</v>
      </c>
      <c r="B43" s="15" t="s">
        <v>117</v>
      </c>
      <c r="C43" s="16">
        <v>19500.0</v>
      </c>
      <c r="D43" s="17">
        <v>5.4</v>
      </c>
      <c r="E43" s="18" t="str">
        <f t="shared" si="1"/>
        <v>Moderate</v>
      </c>
      <c r="F43" s="19">
        <v>5.956</v>
      </c>
      <c r="G43" s="20">
        <v>28.62</v>
      </c>
      <c r="H43" s="16">
        <v>59530.0</v>
      </c>
      <c r="I43" s="17">
        <v>1.2</v>
      </c>
      <c r="J43" s="18" t="str">
        <f t="shared" si="2"/>
        <v>Low</v>
      </c>
      <c r="K43" s="20">
        <v>18.44</v>
      </c>
      <c r="L43" s="20">
        <v>22.7</v>
      </c>
      <c r="M43" s="20">
        <v>28.46</v>
      </c>
      <c r="N43" s="20">
        <v>32.81</v>
      </c>
      <c r="O43" s="20">
        <v>38.85</v>
      </c>
      <c r="P43" s="16">
        <v>38360.0</v>
      </c>
      <c r="Q43" s="16">
        <v>47220.0</v>
      </c>
      <c r="R43" s="16">
        <v>59190.0</v>
      </c>
      <c r="S43" s="16">
        <v>68240.0</v>
      </c>
      <c r="T43" s="16">
        <v>80800.0</v>
      </c>
      <c r="U43" s="16">
        <f t="shared" si="3"/>
        <v>0.16</v>
      </c>
      <c r="V43" s="21">
        <f t="shared" si="4"/>
        <v>0.5621925509</v>
      </c>
      <c r="W43" s="22">
        <f t="shared" si="5"/>
        <v>2.106832972</v>
      </c>
      <c r="X43" s="24" t="str">
        <f t="shared" si="6"/>
        <v>OK</v>
      </c>
    </row>
    <row r="44" ht="15.75" customHeight="1">
      <c r="A44" s="14" t="s">
        <v>132</v>
      </c>
      <c r="B44" s="15" t="s">
        <v>120</v>
      </c>
      <c r="C44" s="16">
        <v>71880.0</v>
      </c>
      <c r="D44" s="17">
        <v>3.6</v>
      </c>
      <c r="E44" s="18" t="str">
        <f t="shared" si="1"/>
        <v>Low</v>
      </c>
      <c r="F44" s="19">
        <v>5.191</v>
      </c>
      <c r="G44" s="20">
        <v>27.52</v>
      </c>
      <c r="H44" s="16">
        <v>57250.0</v>
      </c>
      <c r="I44" s="17">
        <v>1.0</v>
      </c>
      <c r="J44" s="18" t="str">
        <f t="shared" si="2"/>
        <v>Low</v>
      </c>
      <c r="K44" s="20">
        <v>17.87</v>
      </c>
      <c r="L44" s="20">
        <v>22.12</v>
      </c>
      <c r="M44" s="20">
        <v>27.36</v>
      </c>
      <c r="N44" s="20">
        <v>31.3</v>
      </c>
      <c r="O44" s="20">
        <v>37.55</v>
      </c>
      <c r="P44" s="16">
        <v>37170.0</v>
      </c>
      <c r="Q44" s="16">
        <v>46010.0</v>
      </c>
      <c r="R44" s="16">
        <v>56920.0</v>
      </c>
      <c r="S44" s="16">
        <v>65110.0</v>
      </c>
      <c r="T44" s="16">
        <v>78100.0</v>
      </c>
      <c r="U44" s="16">
        <f t="shared" si="3"/>
        <v>0.16</v>
      </c>
      <c r="V44" s="21">
        <f t="shared" si="4"/>
        <v>0.5847953216</v>
      </c>
      <c r="W44" s="22">
        <f t="shared" si="5"/>
        <v>2.101287073</v>
      </c>
      <c r="X44" s="24" t="str">
        <f t="shared" si="6"/>
        <v>OK</v>
      </c>
    </row>
    <row r="45" ht="15.75" customHeight="1">
      <c r="A45" s="14" t="s">
        <v>133</v>
      </c>
      <c r="B45" s="15" t="s">
        <v>134</v>
      </c>
      <c r="C45" s="16">
        <v>11360.0</v>
      </c>
      <c r="D45" s="17">
        <v>6.1</v>
      </c>
      <c r="E45" s="18" t="str">
        <f t="shared" si="1"/>
        <v>Moderate</v>
      </c>
      <c r="F45" s="19">
        <v>6.643</v>
      </c>
      <c r="G45" s="20">
        <v>30.3</v>
      </c>
      <c r="H45" s="16">
        <v>63010.0</v>
      </c>
      <c r="I45" s="17">
        <v>1.7</v>
      </c>
      <c r="J45" s="18" t="str">
        <f t="shared" si="2"/>
        <v>Low</v>
      </c>
      <c r="K45" s="20">
        <v>18.38</v>
      </c>
      <c r="L45" s="20">
        <v>22.94</v>
      </c>
      <c r="M45" s="20">
        <v>29.53</v>
      </c>
      <c r="N45" s="20">
        <v>37.5</v>
      </c>
      <c r="O45" s="20">
        <v>39.62</v>
      </c>
      <c r="P45" s="16">
        <v>38230.0</v>
      </c>
      <c r="Q45" s="16">
        <v>47720.0</v>
      </c>
      <c r="R45" s="16">
        <v>61430.0</v>
      </c>
      <c r="S45" s="16">
        <v>78000.0</v>
      </c>
      <c r="T45" s="16">
        <v>82410.0</v>
      </c>
      <c r="U45" s="16">
        <f t="shared" si="3"/>
        <v>0.77</v>
      </c>
      <c r="V45" s="21">
        <f t="shared" si="4"/>
        <v>2.607517779</v>
      </c>
      <c r="W45" s="22">
        <f t="shared" si="5"/>
        <v>2.155603917</v>
      </c>
      <c r="X45" s="24" t="str">
        <f t="shared" si="6"/>
        <v>OK</v>
      </c>
    </row>
    <row r="46" ht="15.75" customHeight="1">
      <c r="A46" s="14" t="s">
        <v>135</v>
      </c>
      <c r="B46" s="15" t="s">
        <v>116</v>
      </c>
      <c r="C46" s="16">
        <v>1410.0</v>
      </c>
      <c r="D46" s="17">
        <v>4.4</v>
      </c>
      <c r="E46" s="18" t="str">
        <f t="shared" si="1"/>
        <v>Low</v>
      </c>
      <c r="F46" s="19">
        <v>4.638</v>
      </c>
      <c r="G46" s="20">
        <v>29.43</v>
      </c>
      <c r="H46" s="16">
        <v>61220.0</v>
      </c>
      <c r="I46" s="17">
        <v>0.8</v>
      </c>
      <c r="J46" s="18" t="str">
        <f t="shared" si="2"/>
        <v>Low</v>
      </c>
      <c r="K46" s="20">
        <v>18.81</v>
      </c>
      <c r="L46" s="20">
        <v>24.27</v>
      </c>
      <c r="M46" s="20">
        <v>28.69</v>
      </c>
      <c r="N46" s="20">
        <v>34.44</v>
      </c>
      <c r="O46" s="20">
        <v>38.2</v>
      </c>
      <c r="P46" s="16">
        <v>39130.0</v>
      </c>
      <c r="Q46" s="16">
        <v>50480.0</v>
      </c>
      <c r="R46" s="16">
        <v>59670.0</v>
      </c>
      <c r="S46" s="16">
        <v>71640.0</v>
      </c>
      <c r="T46" s="16">
        <v>79450.0</v>
      </c>
      <c r="U46" s="16">
        <f t="shared" si="3"/>
        <v>0.74</v>
      </c>
      <c r="V46" s="21">
        <f t="shared" si="4"/>
        <v>2.579295922</v>
      </c>
      <c r="W46" s="22">
        <f t="shared" si="5"/>
        <v>2.030834662</v>
      </c>
      <c r="X46" s="24" t="str">
        <f t="shared" si="6"/>
        <v>OK</v>
      </c>
    </row>
    <row r="47" ht="15.75" customHeight="1">
      <c r="A47" s="14" t="s">
        <v>136</v>
      </c>
      <c r="B47" s="15" t="s">
        <v>121</v>
      </c>
      <c r="C47" s="16">
        <v>24300.0</v>
      </c>
      <c r="D47" s="17">
        <v>3.9</v>
      </c>
      <c r="E47" s="18" t="str">
        <f t="shared" si="1"/>
        <v>Low</v>
      </c>
      <c r="F47" s="19">
        <v>5.977</v>
      </c>
      <c r="G47" s="20">
        <v>32.03</v>
      </c>
      <c r="H47" s="16">
        <v>66630.0</v>
      </c>
      <c r="I47" s="17">
        <v>1.3</v>
      </c>
      <c r="J47" s="18" t="str">
        <f t="shared" si="2"/>
        <v>Low</v>
      </c>
      <c r="K47" s="20">
        <v>18.45</v>
      </c>
      <c r="L47" s="20">
        <v>23.51</v>
      </c>
      <c r="M47" s="20">
        <v>29.62</v>
      </c>
      <c r="N47" s="20">
        <v>36.8</v>
      </c>
      <c r="O47" s="20">
        <v>53.23</v>
      </c>
      <c r="P47" s="16">
        <v>38380.0</v>
      </c>
      <c r="Q47" s="16">
        <v>48890.0</v>
      </c>
      <c r="R47" s="16">
        <v>61610.0</v>
      </c>
      <c r="S47" s="16">
        <v>76550.0</v>
      </c>
      <c r="T47" s="16">
        <v>110720.0</v>
      </c>
      <c r="U47" s="16">
        <f t="shared" si="3"/>
        <v>2.41</v>
      </c>
      <c r="V47" s="21">
        <f t="shared" si="4"/>
        <v>8.136394328</v>
      </c>
      <c r="W47" s="22">
        <f t="shared" si="5"/>
        <v>2.885094851</v>
      </c>
      <c r="X47" s="24" t="str">
        <f t="shared" si="6"/>
        <v>OK</v>
      </c>
    </row>
    <row r="48" ht="15.75" customHeight="1">
      <c r="A48" s="14" t="s">
        <v>137</v>
      </c>
      <c r="B48" s="15" t="s">
        <v>108</v>
      </c>
      <c r="C48" s="16">
        <v>18380.0</v>
      </c>
      <c r="D48" s="17">
        <v>3.1</v>
      </c>
      <c r="E48" s="18" t="str">
        <f t="shared" si="1"/>
        <v>Low</v>
      </c>
      <c r="F48" s="19">
        <v>5.192</v>
      </c>
      <c r="G48" s="20">
        <v>45.12</v>
      </c>
      <c r="H48" s="16">
        <v>93840.0</v>
      </c>
      <c r="I48" s="17">
        <v>1.3</v>
      </c>
      <c r="J48" s="18" t="str">
        <f t="shared" si="2"/>
        <v>Low</v>
      </c>
      <c r="K48" s="20">
        <v>26.35</v>
      </c>
      <c r="L48" s="20">
        <v>33.43</v>
      </c>
      <c r="M48" s="20">
        <v>46.41</v>
      </c>
      <c r="N48" s="20">
        <v>55.75</v>
      </c>
      <c r="O48" s="20">
        <v>64.09</v>
      </c>
      <c r="P48" s="16">
        <v>54800.0</v>
      </c>
      <c r="Q48" s="16">
        <v>69520.0</v>
      </c>
      <c r="R48" s="16">
        <v>96530.0</v>
      </c>
      <c r="S48" s="16">
        <v>115970.0</v>
      </c>
      <c r="T48" s="16">
        <v>133310.0</v>
      </c>
      <c r="U48" s="16">
        <f t="shared" si="3"/>
        <v>-1.29</v>
      </c>
      <c r="V48" s="21">
        <f t="shared" si="4"/>
        <v>-2.779573368</v>
      </c>
      <c r="W48" s="22">
        <f t="shared" si="5"/>
        <v>2.432258065</v>
      </c>
      <c r="X48" s="24" t="str">
        <f t="shared" si="6"/>
        <v>OK</v>
      </c>
    </row>
    <row r="49" ht="15.75" customHeight="1">
      <c r="A49" s="14" t="s">
        <v>138</v>
      </c>
      <c r="B49" s="15" t="s">
        <v>139</v>
      </c>
      <c r="C49" s="16">
        <v>4010.0</v>
      </c>
      <c r="D49" s="17">
        <v>3.2</v>
      </c>
      <c r="E49" s="18" t="str">
        <f t="shared" si="1"/>
        <v>Low</v>
      </c>
      <c r="F49" s="19">
        <v>5.722</v>
      </c>
      <c r="G49" s="20">
        <v>31.68</v>
      </c>
      <c r="H49" s="16">
        <v>65890.0</v>
      </c>
      <c r="I49" s="17">
        <v>1.1</v>
      </c>
      <c r="J49" s="18" t="str">
        <f t="shared" si="2"/>
        <v>Low</v>
      </c>
      <c r="K49" s="20">
        <v>18.43</v>
      </c>
      <c r="L49" s="20">
        <v>23.15</v>
      </c>
      <c r="M49" s="20">
        <v>30.7</v>
      </c>
      <c r="N49" s="20">
        <v>39.64</v>
      </c>
      <c r="O49" s="20">
        <v>42.77</v>
      </c>
      <c r="P49" s="16">
        <v>38340.0</v>
      </c>
      <c r="Q49" s="16">
        <v>48160.0</v>
      </c>
      <c r="R49" s="16">
        <v>63850.0</v>
      </c>
      <c r="S49" s="16">
        <v>82440.0</v>
      </c>
      <c r="T49" s="16">
        <v>88960.0</v>
      </c>
      <c r="U49" s="16">
        <f t="shared" si="3"/>
        <v>0.98</v>
      </c>
      <c r="V49" s="21">
        <f t="shared" si="4"/>
        <v>3.19218241</v>
      </c>
      <c r="W49" s="22">
        <f t="shared" si="5"/>
        <v>2.320672816</v>
      </c>
      <c r="X49" s="24" t="str">
        <f t="shared" si="6"/>
        <v>OK</v>
      </c>
    </row>
    <row r="50" ht="15.75" customHeight="1">
      <c r="A50" s="14" t="s">
        <v>140</v>
      </c>
      <c r="B50" s="15" t="s">
        <v>141</v>
      </c>
      <c r="C50" s="16">
        <v>12630.0</v>
      </c>
      <c r="D50" s="17">
        <v>3.6</v>
      </c>
      <c r="E50" s="18" t="str">
        <f t="shared" si="1"/>
        <v>Low</v>
      </c>
      <c r="F50" s="19">
        <v>4.319</v>
      </c>
      <c r="G50" s="20">
        <v>34.98</v>
      </c>
      <c r="H50" s="16">
        <v>72760.0</v>
      </c>
      <c r="I50" s="17">
        <v>1.1</v>
      </c>
      <c r="J50" s="18" t="str">
        <f t="shared" si="2"/>
        <v>Low</v>
      </c>
      <c r="K50" s="20">
        <v>22.19</v>
      </c>
      <c r="L50" s="20">
        <v>27.09</v>
      </c>
      <c r="M50" s="20">
        <v>36.1</v>
      </c>
      <c r="N50" s="20">
        <v>43.76</v>
      </c>
      <c r="O50" s="20">
        <v>47.67</v>
      </c>
      <c r="P50" s="16">
        <v>46140.0</v>
      </c>
      <c r="Q50" s="16">
        <v>56340.0</v>
      </c>
      <c r="R50" s="16">
        <v>75090.0</v>
      </c>
      <c r="S50" s="16">
        <v>91030.0</v>
      </c>
      <c r="T50" s="16">
        <v>99160.0</v>
      </c>
      <c r="U50" s="16">
        <f t="shared" si="3"/>
        <v>-1.12</v>
      </c>
      <c r="V50" s="21">
        <f t="shared" si="4"/>
        <v>-3.102493075</v>
      </c>
      <c r="W50" s="22">
        <f t="shared" si="5"/>
        <v>2.148264984</v>
      </c>
      <c r="X50" s="24" t="str">
        <f t="shared" si="6"/>
        <v>OK</v>
      </c>
    </row>
    <row r="51" ht="15.75" customHeight="1">
      <c r="A51" s="14" t="s">
        <v>142</v>
      </c>
      <c r="B51" s="15" t="s">
        <v>105</v>
      </c>
      <c r="C51" s="16">
        <v>2710.0</v>
      </c>
      <c r="D51" s="17">
        <v>6.7</v>
      </c>
      <c r="E51" s="18" t="str">
        <f t="shared" si="1"/>
        <v>Moderate</v>
      </c>
      <c r="F51" s="19">
        <v>9.737</v>
      </c>
      <c r="G51" s="20">
        <v>34.74</v>
      </c>
      <c r="H51" s="16">
        <v>72260.0</v>
      </c>
      <c r="I51" s="17">
        <v>1.7</v>
      </c>
      <c r="J51" s="18" t="str">
        <f t="shared" si="2"/>
        <v>Low</v>
      </c>
      <c r="K51" s="20">
        <v>23.06</v>
      </c>
      <c r="L51" s="20">
        <v>27.4</v>
      </c>
      <c r="M51" s="20">
        <v>35.31</v>
      </c>
      <c r="N51" s="20">
        <v>39.74</v>
      </c>
      <c r="O51" s="20">
        <v>50.65</v>
      </c>
      <c r="P51" s="16">
        <v>47960.0</v>
      </c>
      <c r="Q51" s="16">
        <v>56980.0</v>
      </c>
      <c r="R51" s="16">
        <v>73450.0</v>
      </c>
      <c r="S51" s="16">
        <v>82670.0</v>
      </c>
      <c r="T51" s="16">
        <v>105350.0</v>
      </c>
      <c r="U51" s="16">
        <f t="shared" si="3"/>
        <v>-0.57</v>
      </c>
      <c r="V51" s="21">
        <f t="shared" si="4"/>
        <v>-1.614273577</v>
      </c>
      <c r="W51" s="22">
        <f t="shared" si="5"/>
        <v>2.196444059</v>
      </c>
      <c r="X51" s="24" t="str">
        <f t="shared" si="6"/>
        <v>OK</v>
      </c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X52" s="24"/>
    </row>
    <row r="53" ht="15.75" customHeight="1">
      <c r="A53" s="15"/>
      <c r="B53" s="15"/>
      <c r="C53" s="37">
        <f t="shared" ref="C53:D53" si="7">MAX(C2:C51)</f>
        <v>73420</v>
      </c>
      <c r="D53" s="38">
        <f t="shared" si="7"/>
        <v>11.9</v>
      </c>
      <c r="F53" s="15"/>
      <c r="G53" s="15"/>
      <c r="H53" s="15"/>
      <c r="I53" s="38">
        <f>MAX(I2:I51)</f>
        <v>4.6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X53" s="24"/>
    </row>
    <row r="54" ht="15.75" customHeight="1">
      <c r="A54" s="15"/>
      <c r="B54" s="15"/>
      <c r="C54" s="37">
        <f t="shared" ref="C54:D54" si="8">MIN(C2:C51)</f>
        <v>1410</v>
      </c>
      <c r="D54" s="38">
        <f t="shared" si="8"/>
        <v>2.4</v>
      </c>
      <c r="F54" s="15"/>
      <c r="G54" s="15"/>
      <c r="H54" s="15"/>
      <c r="I54" s="38">
        <f>MIN(I2:I51)</f>
        <v>0.8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X54" s="24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X55" s="24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X56" s="24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X57" s="24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X58" s="24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X59" s="24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X60" s="24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X61" s="24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X62" s="24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X63" s="24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X64" s="24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X65" s="24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X66" s="24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X67" s="24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X68" s="24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X69" s="24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X70" s="24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X71" s="24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X72" s="24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X73" s="24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X74" s="24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X75" s="24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X76" s="24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X77" s="24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X78" s="24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X79" s="24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X80" s="24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X81" s="24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X82" s="24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X83" s="24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X84" s="24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X85" s="24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X86" s="24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X87" s="24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X88" s="24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X89" s="24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X90" s="24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X91" s="24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X92" s="24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X93" s="24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X94" s="24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X95" s="24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X96" s="24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X97" s="24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X98" s="24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X99" s="24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X100" s="24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X101" s="24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X102" s="24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X103" s="24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X104" s="24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X105" s="24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X106" s="24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X107" s="24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X108" s="24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X109" s="24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X110" s="24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X111" s="24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X112" s="24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X113" s="24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X114" s="24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X115" s="24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X116" s="24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X117" s="24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X118" s="24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X119" s="24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X120" s="24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X121" s="24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X122" s="24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X123" s="24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X124" s="24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X125" s="24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X126" s="24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X127" s="24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X128" s="24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X129" s="24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X130" s="24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X131" s="24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X132" s="24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X133" s="24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X134" s="24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X135" s="24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X136" s="24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X137" s="24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X138" s="24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X139" s="24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X140" s="24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X141" s="24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X142" s="24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X143" s="24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X144" s="24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X145" s="24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X146" s="24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X147" s="24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X148" s="24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X149" s="24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X150" s="24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X151" s="24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X152" s="24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X153" s="24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X154" s="24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X155" s="24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X156" s="24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X157" s="24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X158" s="24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X159" s="24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X160" s="24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X161" s="24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X162" s="24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X163" s="24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X164" s="24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X165" s="24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X166" s="24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X167" s="24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X168" s="24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X169" s="24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X170" s="24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X171" s="24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X172" s="24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X173" s="24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X174" s="24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X175" s="24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X176" s="24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X177" s="24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X178" s="24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X179" s="24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X180" s="24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X181" s="24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X182" s="24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X183" s="24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X184" s="24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X185" s="24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X186" s="24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X187" s="24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X188" s="24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X189" s="24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X190" s="24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X191" s="24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X192" s="24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X193" s="24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X194" s="24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X195" s="24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X196" s="24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X197" s="24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X198" s="24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X199" s="24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X200" s="24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X201" s="24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X202" s="24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X203" s="24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X204" s="24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X205" s="24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X206" s="24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X207" s="24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X208" s="24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X209" s="24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X210" s="24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X211" s="24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X212" s="24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X213" s="24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X214" s="24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X215" s="24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X216" s="24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X217" s="24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X218" s="24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X219" s="24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X220" s="24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X221" s="24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X222" s="24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X223" s="24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X224" s="24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X225" s="24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X226" s="24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X227" s="24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X228" s="24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X229" s="24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X230" s="24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X231" s="24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X232" s="24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X233" s="24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X234" s="24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X235" s="24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X236" s="24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X237" s="24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X238" s="24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X239" s="24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X240" s="24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X241" s="24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X242" s="24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X243" s="24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X244" s="24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X245" s="24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X246" s="24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X247" s="24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X248" s="24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X249" s="24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X250" s="24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X251" s="24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X252" s="24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X253" s="24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X254" s="24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X255" s="24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X256" s="24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X257" s="24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X258" s="24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X259" s="24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X260" s="24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X261" s="24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X262" s="24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X263" s="24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X264" s="24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X265" s="24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X266" s="24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X267" s="24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X268" s="24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X269" s="24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X270" s="24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X271" s="24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X272" s="24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X273" s="24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X274" s="24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X275" s="24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X276" s="24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X277" s="24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X278" s="24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X279" s="24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X280" s="24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X281" s="24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X282" s="24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X283" s="24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X284" s="24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X285" s="24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X286" s="24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X287" s="24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X288" s="24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X289" s="24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X290" s="24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X291" s="24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X292" s="24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X293" s="24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X294" s="24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X295" s="24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X296" s="24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X297" s="24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X298" s="24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X299" s="24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X300" s="24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X301" s="24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X302" s="24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X303" s="24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X304" s="24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X305" s="24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X306" s="24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X307" s="24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X308" s="24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X309" s="24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X310" s="24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X311" s="24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X312" s="24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X313" s="24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X314" s="24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X315" s="24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X316" s="24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X317" s="24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X318" s="24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X319" s="24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X320" s="24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X321" s="24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X322" s="24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X323" s="24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X324" s="24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X325" s="24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X326" s="24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X327" s="24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X328" s="24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X329" s="24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X330" s="24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X331" s="24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X332" s="24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X333" s="24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X334" s="24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X335" s="24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X336" s="24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X337" s="24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X338" s="24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X339" s="24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X340" s="24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X341" s="24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X342" s="24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X343" s="24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X344" s="24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X345" s="24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X346" s="24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X347" s="24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X348" s="24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X349" s="24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X350" s="24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X351" s="24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X352" s="24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X353" s="24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X354" s="24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X355" s="24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X356" s="24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X357" s="24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X358" s="24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X359" s="24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X360" s="24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X361" s="24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X362" s="24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X363" s="24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X364" s="24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X365" s="24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X366" s="24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X367" s="24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X368" s="24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X369" s="24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X370" s="24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X371" s="24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X372" s="24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X373" s="24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X374" s="24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X375" s="24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X376" s="24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X377" s="24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X378" s="24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X379" s="24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X380" s="24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X381" s="24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X382" s="24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X383" s="24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X384" s="24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X385" s="24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X386" s="24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X387" s="24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X388" s="24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X389" s="24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X390" s="24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X391" s="24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X392" s="24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X393" s="24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X394" s="24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X395" s="24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X396" s="24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X397" s="24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X398" s="24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X399" s="24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X400" s="24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X401" s="24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X402" s="24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X403" s="24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X404" s="24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X405" s="24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X406" s="24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X407" s="24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X408" s="24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X409" s="24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X410" s="24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X411" s="24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X412" s="24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X413" s="24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X414" s="24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X415" s="24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X416" s="24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X417" s="24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X418" s="24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X419" s="24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X420" s="24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X421" s="24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X422" s="24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X423" s="24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X424" s="24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X425" s="24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X426" s="24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X427" s="24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X428" s="24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X429" s="24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X430" s="24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X431" s="24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X432" s="24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X433" s="24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X434" s="24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X435" s="24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X436" s="24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X437" s="24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X438" s="24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X439" s="24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X440" s="24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X441" s="24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X442" s="24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X443" s="24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X444" s="24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X445" s="24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X446" s="24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X447" s="24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X448" s="24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X449" s="24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X450" s="24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X451" s="24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X452" s="24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X453" s="24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X454" s="24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X455" s="24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X456" s="24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X457" s="24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X458" s="24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X459" s="24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X460" s="24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X461" s="24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X462" s="24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X463" s="24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X464" s="24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X465" s="24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X466" s="24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X467" s="24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X468" s="24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X469" s="24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X470" s="24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X471" s="24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X472" s="24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X473" s="24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X474" s="24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X475" s="24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X476" s="24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X477" s="24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X478" s="24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X479" s="24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X480" s="24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X481" s="24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X482" s="24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X483" s="24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X484" s="24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X485" s="24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X486" s="24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X487" s="24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X488" s="24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X489" s="24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X490" s="24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X491" s="24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X492" s="24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X493" s="24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X494" s="24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X495" s="24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X496" s="24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X497" s="24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X498" s="24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X499" s="24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X500" s="24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X501" s="24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X502" s="24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X503" s="24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X504" s="24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X505" s="24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X506" s="24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X507" s="24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X508" s="24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X509" s="24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X510" s="24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X511" s="24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X512" s="24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X513" s="24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X514" s="24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X515" s="24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X516" s="24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X517" s="24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X518" s="24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X519" s="24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X520" s="24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X521" s="24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X522" s="24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X523" s="24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X524" s="24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X525" s="24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X526" s="24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X527" s="24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X528" s="24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X529" s="24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X530" s="24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X531" s="24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X532" s="24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X533" s="24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X534" s="24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X535" s="24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X536" s="24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X537" s="24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X538" s="24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X539" s="24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X540" s="24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X541" s="24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X542" s="24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X543" s="24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X544" s="24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X545" s="24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X546" s="24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X547" s="24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X548" s="24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X549" s="24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X550" s="24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X551" s="24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X552" s="24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X553" s="24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X554" s="24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X555" s="24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X556" s="24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X557" s="24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X558" s="24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X559" s="24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X560" s="24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X561" s="24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X562" s="24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X563" s="24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X564" s="24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X565" s="24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X566" s="24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X567" s="24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X568" s="24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X569" s="24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X570" s="24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X571" s="24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X572" s="24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X573" s="24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X574" s="24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X575" s="24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X576" s="24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X577" s="24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X578" s="24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X579" s="24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X580" s="24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X581" s="24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X582" s="24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X583" s="24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X584" s="24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X585" s="24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X586" s="24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X587" s="24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X588" s="24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X589" s="24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X590" s="24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X591" s="24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X592" s="24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X593" s="24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X594" s="24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X595" s="24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X596" s="24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X597" s="24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X598" s="24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X599" s="24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X600" s="24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X601" s="24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X602" s="24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X603" s="24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X604" s="24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X605" s="24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X606" s="24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X607" s="24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X608" s="24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X609" s="24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X610" s="24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X611" s="24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X612" s="24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X613" s="24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X614" s="24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X615" s="24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X616" s="24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X617" s="24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X618" s="24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X619" s="24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X620" s="24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X621" s="24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X622" s="24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X623" s="24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X624" s="24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X625" s="24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X626" s="24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X627" s="24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X628" s="24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X629" s="24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X630" s="24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X631" s="24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X632" s="24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X633" s="24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X634" s="24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X635" s="24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X636" s="24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X637" s="24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X638" s="24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X639" s="24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X640" s="24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X641" s="24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X642" s="24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X643" s="24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X644" s="24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X645" s="24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X646" s="24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X647" s="24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X648" s="24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X649" s="24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X650" s="24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X651" s="24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X652" s="24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X653" s="24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X654" s="24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X655" s="24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X656" s="24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X657" s="24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X658" s="24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X659" s="24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X660" s="24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X661" s="24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X662" s="24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X663" s="24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X664" s="24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X665" s="24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X666" s="24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X667" s="24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X668" s="24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X669" s="24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X670" s="24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X671" s="24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X672" s="24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X673" s="24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X674" s="24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X675" s="24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X676" s="24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X677" s="24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X678" s="24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X679" s="24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X680" s="24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X681" s="24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X682" s="24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X683" s="24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X684" s="24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X685" s="24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X686" s="24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X687" s="24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X688" s="24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X689" s="24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X690" s="24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X691" s="24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X692" s="24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X693" s="24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X694" s="24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X695" s="24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X696" s="24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X697" s="24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X698" s="24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X699" s="24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X700" s="24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X701" s="24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X702" s="24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X703" s="24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X704" s="24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X705" s="24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X706" s="24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X707" s="24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X708" s="24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X709" s="24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X710" s="24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X711" s="24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X712" s="24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X713" s="24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X714" s="24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X715" s="24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X716" s="24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X717" s="24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X718" s="24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X719" s="24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X720" s="24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X721" s="24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X722" s="24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X723" s="24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X724" s="24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X725" s="24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X726" s="24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X727" s="24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X728" s="24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X729" s="24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X730" s="24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X731" s="24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X732" s="24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X733" s="24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X734" s="24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X735" s="24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X736" s="24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X737" s="24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X738" s="24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X739" s="24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X740" s="24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X741" s="24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X742" s="24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X743" s="24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X744" s="24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X745" s="24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X746" s="24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X747" s="24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X748" s="24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X749" s="24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X750" s="24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X751" s="24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X752" s="24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X753" s="24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X754" s="24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X755" s="24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X756" s="24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X757" s="24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X758" s="24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X759" s="24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X760" s="24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X761" s="24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X762" s="24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X763" s="24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X764" s="24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X765" s="24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X766" s="24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X767" s="24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X768" s="24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X769" s="24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X770" s="24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X771" s="24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X772" s="24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X773" s="24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X774" s="24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X775" s="24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X776" s="24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X777" s="24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X778" s="24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X779" s="24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X780" s="24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X781" s="24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X782" s="24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X783" s="24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X784" s="24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X785" s="24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X786" s="24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X787" s="24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X788" s="24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X789" s="24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X790" s="24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X791" s="24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X792" s="24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X793" s="24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X794" s="24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X795" s="24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X796" s="24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X797" s="24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X798" s="24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X799" s="24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X800" s="24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X801" s="24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X802" s="24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X803" s="24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X804" s="24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X805" s="24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X806" s="24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X807" s="24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X808" s="24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X809" s="24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X810" s="24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X811" s="24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X812" s="24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X813" s="24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X814" s="24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X815" s="24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X816" s="24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X817" s="24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X818" s="24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X819" s="24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X820" s="24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X821" s="24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X822" s="24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X823" s="24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X824" s="24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X825" s="24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X826" s="24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X827" s="24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X828" s="24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X829" s="24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X830" s="24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X831" s="24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X832" s="24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X833" s="24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X834" s="24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X835" s="24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X836" s="24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X837" s="24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X838" s="24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X839" s="24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X840" s="24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X841" s="24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X842" s="24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X843" s="24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X844" s="24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X845" s="24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X846" s="24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X847" s="24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X848" s="24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X849" s="24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X850" s="24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X851" s="24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X852" s="24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X853" s="24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X854" s="24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X855" s="24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X856" s="24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X857" s="24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X858" s="24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X859" s="24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X860" s="24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X861" s="24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X862" s="24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X863" s="24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X864" s="24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X865" s="24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X866" s="24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X867" s="24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X868" s="24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X869" s="24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X870" s="24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X871" s="24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X872" s="24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X873" s="24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X874" s="24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X875" s="24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X876" s="24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X877" s="24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X878" s="24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X879" s="24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X880" s="24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X881" s="24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X882" s="24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X883" s="24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X884" s="24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X885" s="24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X886" s="24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X887" s="24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X888" s="24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X889" s="24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X890" s="24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X891" s="24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X892" s="24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X893" s="24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X894" s="24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X895" s="24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X896" s="24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X897" s="24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X898" s="24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X899" s="24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X900" s="24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X901" s="24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X902" s="24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X903" s="24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X904" s="24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X905" s="24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X906" s="24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X907" s="24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X908" s="24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X909" s="24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X910" s="24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X911" s="24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X912" s="24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X913" s="24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X914" s="24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X915" s="24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X916" s="24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X917" s="24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X918" s="24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X919" s="24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X920" s="24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X921" s="24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X922" s="24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X923" s="24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X924" s="24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X925" s="24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X926" s="24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X927" s="24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X928" s="24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X929" s="24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X930" s="24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X931" s="24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X932" s="24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X933" s="24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X934" s="24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X935" s="24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X936" s="24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X937" s="24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X938" s="24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X939" s="24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X940" s="24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X941" s="24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X942" s="24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X943" s="24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X944" s="24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X945" s="24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X946" s="24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X947" s="24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X948" s="24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X949" s="24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X950" s="24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X951" s="24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X952" s="24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X953" s="24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X954" s="24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X955" s="24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X956" s="24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X957" s="24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X958" s="24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X959" s="24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X960" s="24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X961" s="24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X962" s="24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X963" s="24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X964" s="24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X965" s="24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X966" s="24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X967" s="24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X968" s="24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X969" s="24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X970" s="24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X971" s="24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X972" s="24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X973" s="24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X974" s="24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X975" s="24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X976" s="24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X977" s="24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X978" s="24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X979" s="24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X980" s="24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X981" s="24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X982" s="24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X983" s="24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X984" s="24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X985" s="24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X986" s="24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X987" s="24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X988" s="24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X989" s="24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X990" s="24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X991" s="24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X992" s="24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X993" s="24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X994" s="24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X995" s="24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X996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9.38"/>
    <col customWidth="1" min="3" max="3" width="17.13"/>
    <col customWidth="1" min="4" max="5" width="26.13"/>
    <col customWidth="1" min="6" max="6" width="28.63"/>
    <col customWidth="1" min="7" max="8" width="19.75"/>
    <col customWidth="1" min="9" max="20" width="28.13"/>
    <col customWidth="1" min="21" max="21" width="20.25"/>
    <col customWidth="1" min="22" max="22" width="26.63"/>
    <col customWidth="1" min="23" max="23" width="32.0"/>
    <col customWidth="1" min="24" max="24" width="16.38"/>
  </cols>
  <sheetData>
    <row r="1" ht="15.75" customHeight="1">
      <c r="A1" s="8" t="s">
        <v>17</v>
      </c>
      <c r="B1" s="8" t="s">
        <v>18</v>
      </c>
      <c r="C1" s="8" t="s">
        <v>19</v>
      </c>
      <c r="D1" s="8" t="s">
        <v>20</v>
      </c>
      <c r="E1" s="9" t="s">
        <v>21</v>
      </c>
      <c r="F1" s="9" t="s">
        <v>22</v>
      </c>
      <c r="G1" s="8" t="s">
        <v>23</v>
      </c>
      <c r="H1" s="8" t="s">
        <v>24</v>
      </c>
      <c r="I1" s="8" t="s">
        <v>25</v>
      </c>
      <c r="J1" s="9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34</v>
      </c>
      <c r="S1" s="8" t="s">
        <v>35</v>
      </c>
      <c r="T1" s="8" t="s">
        <v>36</v>
      </c>
      <c r="U1" s="10" t="s">
        <v>37</v>
      </c>
      <c r="V1" s="11" t="s">
        <v>38</v>
      </c>
      <c r="W1" s="12" t="s">
        <v>39</v>
      </c>
      <c r="X1" s="25" t="s">
        <v>40</v>
      </c>
    </row>
    <row r="2" ht="15.75" customHeight="1">
      <c r="A2" s="14" t="s">
        <v>41</v>
      </c>
      <c r="B2" s="15" t="s">
        <v>42</v>
      </c>
      <c r="C2" s="16">
        <v>10900.0</v>
      </c>
      <c r="D2" s="17">
        <v>4.6</v>
      </c>
      <c r="E2" s="18" t="str">
        <f t="shared" ref="E2:E51" si="1">IF(D2&lt;5,"Low",IF(D2&lt;8,"Moderate","High"))</f>
        <v>Low</v>
      </c>
      <c r="F2" s="19">
        <v>5.155</v>
      </c>
      <c r="G2" s="20">
        <v>27.65</v>
      </c>
      <c r="H2" s="16">
        <v>57510.0</v>
      </c>
      <c r="I2" s="17">
        <v>1.4</v>
      </c>
      <c r="J2" s="18" t="str">
        <f t="shared" ref="J2:J51" si="2">IF(I2&lt;2,"Low",IF(I2&lt;4,"Moderate","High"))</f>
        <v>Low</v>
      </c>
      <c r="K2" s="20">
        <v>18.09</v>
      </c>
      <c r="L2" s="20">
        <v>22.17</v>
      </c>
      <c r="M2" s="20">
        <v>26.78</v>
      </c>
      <c r="N2" s="20">
        <v>30.98</v>
      </c>
      <c r="O2" s="20">
        <v>37.61</v>
      </c>
      <c r="P2" s="16">
        <v>37640.0</v>
      </c>
      <c r="Q2" s="16">
        <v>46120.0</v>
      </c>
      <c r="R2" s="16">
        <v>55690.0</v>
      </c>
      <c r="S2" s="16">
        <v>64450.0</v>
      </c>
      <c r="T2" s="16">
        <v>78230.0</v>
      </c>
      <c r="U2" s="16">
        <f t="shared" ref="U2:U51" si="3">G2-M2</f>
        <v>0.87</v>
      </c>
      <c r="V2" s="21">
        <f t="shared" ref="V2:V51" si="4">(U2/M2)*100</f>
        <v>3.248693055</v>
      </c>
      <c r="W2" s="22">
        <f t="shared" ref="W2:W51" si="5">O2/K2</f>
        <v>2.079049198</v>
      </c>
      <c r="X2" s="24" t="str">
        <f t="shared" ref="X2:X51" si="6">IF(OR(E2="High",J2="High"),"⚠ Use with caution","OK")</f>
        <v>OK</v>
      </c>
    </row>
    <row r="3" ht="15.75" customHeight="1">
      <c r="A3" s="14" t="s">
        <v>43</v>
      </c>
      <c r="B3" s="15" t="s">
        <v>44</v>
      </c>
      <c r="C3" s="16">
        <v>1870.0</v>
      </c>
      <c r="D3" s="17">
        <v>6.0</v>
      </c>
      <c r="E3" s="18" t="str">
        <f t="shared" si="1"/>
        <v>Moderate</v>
      </c>
      <c r="F3" s="19">
        <v>5.729</v>
      </c>
      <c r="G3" s="20">
        <v>43.29</v>
      </c>
      <c r="H3" s="16">
        <v>90040.0</v>
      </c>
      <c r="I3" s="17">
        <v>1.3</v>
      </c>
      <c r="J3" s="18" t="str">
        <f t="shared" si="2"/>
        <v>Low</v>
      </c>
      <c r="K3" s="20">
        <v>28.09</v>
      </c>
      <c r="L3" s="20">
        <v>32.11</v>
      </c>
      <c r="M3" s="20">
        <v>43.0</v>
      </c>
      <c r="N3" s="20">
        <v>50.75</v>
      </c>
      <c r="O3" s="20">
        <v>59.23</v>
      </c>
      <c r="P3" s="16">
        <v>58420.0</v>
      </c>
      <c r="Q3" s="16">
        <v>66780.0</v>
      </c>
      <c r="R3" s="16">
        <v>89440.0</v>
      </c>
      <c r="S3" s="16">
        <v>105550.0</v>
      </c>
      <c r="T3" s="16">
        <v>123200.0</v>
      </c>
      <c r="U3" s="16">
        <f t="shared" si="3"/>
        <v>0.29</v>
      </c>
      <c r="V3" s="21">
        <f t="shared" si="4"/>
        <v>0.6744186047</v>
      </c>
      <c r="W3" s="22">
        <f t="shared" si="5"/>
        <v>2.108579566</v>
      </c>
      <c r="X3" s="24" t="str">
        <f t="shared" si="6"/>
        <v>OK</v>
      </c>
    </row>
    <row r="4" ht="15.75" customHeight="1">
      <c r="A4" s="14" t="s">
        <v>45</v>
      </c>
      <c r="B4" s="15" t="s">
        <v>46</v>
      </c>
      <c r="C4" s="16">
        <v>21140.0</v>
      </c>
      <c r="D4" s="17">
        <v>5.3</v>
      </c>
      <c r="E4" s="18" t="str">
        <f t="shared" si="1"/>
        <v>Moderate</v>
      </c>
      <c r="F4" s="19">
        <v>6.526</v>
      </c>
      <c r="G4" s="20">
        <v>30.88</v>
      </c>
      <c r="H4" s="16">
        <v>64220.0</v>
      </c>
      <c r="I4" s="17">
        <v>2.0</v>
      </c>
      <c r="J4" s="18" t="str">
        <f t="shared" si="2"/>
        <v>Moderate</v>
      </c>
      <c r="K4" s="20">
        <v>21.89</v>
      </c>
      <c r="L4" s="20">
        <v>23.25</v>
      </c>
      <c r="M4" s="20">
        <v>29.36</v>
      </c>
      <c r="N4" s="20">
        <v>37.05</v>
      </c>
      <c r="O4" s="20">
        <v>43.08</v>
      </c>
      <c r="P4" s="16">
        <v>45540.0</v>
      </c>
      <c r="Q4" s="16">
        <v>48360.0</v>
      </c>
      <c r="R4" s="16">
        <v>61060.0</v>
      </c>
      <c r="S4" s="16">
        <v>77060.0</v>
      </c>
      <c r="T4" s="16">
        <v>89600.0</v>
      </c>
      <c r="U4" s="16">
        <f t="shared" si="3"/>
        <v>1.52</v>
      </c>
      <c r="V4" s="21">
        <f t="shared" si="4"/>
        <v>5.177111717</v>
      </c>
      <c r="W4" s="22">
        <f t="shared" si="5"/>
        <v>1.968021928</v>
      </c>
      <c r="X4" s="24" t="str">
        <f t="shared" si="6"/>
        <v>OK</v>
      </c>
    </row>
    <row r="5" ht="15.75" customHeight="1">
      <c r="A5" s="14" t="s">
        <v>47</v>
      </c>
      <c r="B5" s="15" t="s">
        <v>48</v>
      </c>
      <c r="C5" s="16">
        <v>7500.0</v>
      </c>
      <c r="D5" s="17">
        <v>5.9</v>
      </c>
      <c r="E5" s="18" t="str">
        <f t="shared" si="1"/>
        <v>Moderate</v>
      </c>
      <c r="F5" s="19">
        <v>5.753</v>
      </c>
      <c r="G5" s="20">
        <v>25.71</v>
      </c>
      <c r="H5" s="16">
        <v>53470.0</v>
      </c>
      <c r="I5" s="17">
        <v>1.6</v>
      </c>
      <c r="J5" s="18" t="str">
        <f t="shared" si="2"/>
        <v>Low</v>
      </c>
      <c r="K5" s="20">
        <v>16.79</v>
      </c>
      <c r="L5" s="20">
        <v>18.54</v>
      </c>
      <c r="M5" s="20">
        <v>23.59</v>
      </c>
      <c r="N5" s="20">
        <v>29.99</v>
      </c>
      <c r="O5" s="20">
        <v>35.8</v>
      </c>
      <c r="P5" s="16">
        <v>34910.0</v>
      </c>
      <c r="Q5" s="16">
        <v>38550.0</v>
      </c>
      <c r="R5" s="16">
        <v>49070.0</v>
      </c>
      <c r="S5" s="16">
        <v>62380.0</v>
      </c>
      <c r="T5" s="16">
        <v>74460.0</v>
      </c>
      <c r="U5" s="16">
        <f t="shared" si="3"/>
        <v>2.12</v>
      </c>
      <c r="V5" s="21">
        <f t="shared" si="4"/>
        <v>8.986858838</v>
      </c>
      <c r="W5" s="22">
        <f t="shared" si="5"/>
        <v>2.13222156</v>
      </c>
      <c r="X5" s="24" t="str">
        <f t="shared" si="6"/>
        <v>OK</v>
      </c>
    </row>
    <row r="6" ht="15.75" customHeight="1">
      <c r="A6" s="14" t="s">
        <v>49</v>
      </c>
      <c r="B6" s="15" t="s">
        <v>50</v>
      </c>
      <c r="C6" s="16">
        <v>73310.0</v>
      </c>
      <c r="D6" s="17">
        <v>2.7</v>
      </c>
      <c r="E6" s="18" t="str">
        <f t="shared" si="1"/>
        <v>Low</v>
      </c>
      <c r="F6" s="19">
        <v>4.025</v>
      </c>
      <c r="G6" s="20">
        <v>41.28</v>
      </c>
      <c r="H6" s="16">
        <v>85860.0</v>
      </c>
      <c r="I6" s="17">
        <v>1.8</v>
      </c>
      <c r="J6" s="18" t="str">
        <f t="shared" si="2"/>
        <v>Low</v>
      </c>
      <c r="K6" s="20">
        <v>22.5</v>
      </c>
      <c r="L6" s="20">
        <v>28.5</v>
      </c>
      <c r="M6" s="20">
        <v>36.62</v>
      </c>
      <c r="N6" s="20">
        <v>49.52</v>
      </c>
      <c r="O6" s="20">
        <v>67.47</v>
      </c>
      <c r="P6" s="16">
        <v>46800.0</v>
      </c>
      <c r="Q6" s="16">
        <v>59280.0</v>
      </c>
      <c r="R6" s="16">
        <v>76160.0</v>
      </c>
      <c r="S6" s="16">
        <v>103000.0</v>
      </c>
      <c r="T6" s="16">
        <v>140340.0</v>
      </c>
      <c r="U6" s="16">
        <f t="shared" si="3"/>
        <v>4.66</v>
      </c>
      <c r="V6" s="21">
        <f t="shared" si="4"/>
        <v>12.72528673</v>
      </c>
      <c r="W6" s="22">
        <f t="shared" si="5"/>
        <v>2.998666667</v>
      </c>
      <c r="X6" s="24" t="str">
        <f t="shared" si="6"/>
        <v>OK</v>
      </c>
    </row>
    <row r="7" ht="15.75" customHeight="1">
      <c r="A7" s="14" t="s">
        <v>51</v>
      </c>
      <c r="B7" s="15" t="s">
        <v>52</v>
      </c>
      <c r="C7" s="16">
        <v>17010.0</v>
      </c>
      <c r="D7" s="17">
        <v>3.7</v>
      </c>
      <c r="E7" s="18" t="str">
        <f t="shared" si="1"/>
        <v>Low</v>
      </c>
      <c r="F7" s="19">
        <v>5.92</v>
      </c>
      <c r="G7" s="20">
        <v>31.88</v>
      </c>
      <c r="H7" s="16">
        <v>66310.0</v>
      </c>
      <c r="I7" s="17">
        <v>1.1</v>
      </c>
      <c r="J7" s="18" t="str">
        <f t="shared" si="2"/>
        <v>Low</v>
      </c>
      <c r="K7" s="20">
        <v>21.88</v>
      </c>
      <c r="L7" s="20">
        <v>23.5</v>
      </c>
      <c r="M7" s="20">
        <v>29.92</v>
      </c>
      <c r="N7" s="20">
        <v>37.73</v>
      </c>
      <c r="O7" s="20">
        <v>45.27</v>
      </c>
      <c r="P7" s="16">
        <v>45520.0</v>
      </c>
      <c r="Q7" s="16">
        <v>48880.0</v>
      </c>
      <c r="R7" s="16">
        <v>62230.0</v>
      </c>
      <c r="S7" s="16">
        <v>78470.0</v>
      </c>
      <c r="T7" s="16">
        <v>94160.0</v>
      </c>
      <c r="U7" s="16">
        <f t="shared" si="3"/>
        <v>1.96</v>
      </c>
      <c r="V7" s="21">
        <f t="shared" si="4"/>
        <v>6.550802139</v>
      </c>
      <c r="W7" s="22">
        <f t="shared" si="5"/>
        <v>2.069012797</v>
      </c>
      <c r="X7" s="24" t="str">
        <f t="shared" si="6"/>
        <v>OK</v>
      </c>
    </row>
    <row r="8" ht="15.75" customHeight="1">
      <c r="A8" s="14" t="s">
        <v>53</v>
      </c>
      <c r="B8" s="15" t="s">
        <v>54</v>
      </c>
      <c r="C8" s="16">
        <v>7710.0</v>
      </c>
      <c r="D8" s="17">
        <v>5.0</v>
      </c>
      <c r="E8" s="18" t="str">
        <f t="shared" si="1"/>
        <v>Moderate</v>
      </c>
      <c r="F8" s="19">
        <v>4.546</v>
      </c>
      <c r="G8" s="20">
        <v>37.21</v>
      </c>
      <c r="H8" s="16">
        <v>77390.0</v>
      </c>
      <c r="I8" s="17">
        <v>2.8</v>
      </c>
      <c r="J8" s="18" t="str">
        <f t="shared" si="2"/>
        <v>Moderate</v>
      </c>
      <c r="K8" s="20">
        <v>22.92</v>
      </c>
      <c r="L8" s="20">
        <v>27.91</v>
      </c>
      <c r="M8" s="20">
        <v>37.28</v>
      </c>
      <c r="N8" s="20">
        <v>45.71</v>
      </c>
      <c r="O8" s="20">
        <v>50.13</v>
      </c>
      <c r="P8" s="16">
        <v>47680.0</v>
      </c>
      <c r="Q8" s="16">
        <v>58060.0</v>
      </c>
      <c r="R8" s="16">
        <v>77540.0</v>
      </c>
      <c r="S8" s="16">
        <v>95070.0</v>
      </c>
      <c r="T8" s="16">
        <v>104280.0</v>
      </c>
      <c r="U8" s="16">
        <f t="shared" si="3"/>
        <v>-0.07</v>
      </c>
      <c r="V8" s="21">
        <f t="shared" si="4"/>
        <v>-0.1877682403</v>
      </c>
      <c r="W8" s="22">
        <f t="shared" si="5"/>
        <v>2.187172775</v>
      </c>
      <c r="X8" s="24" t="str">
        <f t="shared" si="6"/>
        <v>OK</v>
      </c>
    </row>
    <row r="9" ht="15.75" customHeight="1">
      <c r="A9" s="14" t="s">
        <v>55</v>
      </c>
      <c r="B9" s="15" t="s">
        <v>56</v>
      </c>
      <c r="C9" s="16">
        <v>2260.0</v>
      </c>
      <c r="D9" s="17">
        <v>5.6</v>
      </c>
      <c r="E9" s="18" t="str">
        <f t="shared" si="1"/>
        <v>Moderate</v>
      </c>
      <c r="F9" s="19">
        <v>4.657</v>
      </c>
      <c r="G9" s="20">
        <v>34.02</v>
      </c>
      <c r="H9" s="16">
        <v>70750.0</v>
      </c>
      <c r="I9" s="17">
        <v>3.8</v>
      </c>
      <c r="J9" s="18" t="str">
        <f t="shared" si="2"/>
        <v>Moderate</v>
      </c>
      <c r="K9" s="20">
        <v>18.4</v>
      </c>
      <c r="L9" s="20">
        <v>23.1</v>
      </c>
      <c r="M9" s="20">
        <v>30.63</v>
      </c>
      <c r="N9" s="20">
        <v>43.52</v>
      </c>
      <c r="O9" s="20">
        <v>50.64</v>
      </c>
      <c r="P9" s="16">
        <v>38280.0</v>
      </c>
      <c r="Q9" s="16">
        <v>48040.0</v>
      </c>
      <c r="R9" s="16">
        <v>63700.0</v>
      </c>
      <c r="S9" s="16">
        <v>90510.0</v>
      </c>
      <c r="T9" s="16">
        <v>105340.0</v>
      </c>
      <c r="U9" s="16">
        <f t="shared" si="3"/>
        <v>3.39</v>
      </c>
      <c r="V9" s="21">
        <f t="shared" si="4"/>
        <v>11.0675808</v>
      </c>
      <c r="W9" s="22">
        <f t="shared" si="5"/>
        <v>2.752173913</v>
      </c>
      <c r="X9" s="24" t="str">
        <f t="shared" si="6"/>
        <v>OK</v>
      </c>
    </row>
    <row r="10" ht="15.75" customHeight="1">
      <c r="A10" s="14" t="s">
        <v>57</v>
      </c>
      <c r="B10" s="15" t="s">
        <v>58</v>
      </c>
      <c r="C10" s="16">
        <v>49700.0</v>
      </c>
      <c r="D10" s="17">
        <v>4.3</v>
      </c>
      <c r="E10" s="18" t="str">
        <f t="shared" si="1"/>
        <v>Low</v>
      </c>
      <c r="F10" s="19">
        <v>5.005</v>
      </c>
      <c r="G10" s="20">
        <v>27.72</v>
      </c>
      <c r="H10" s="16">
        <v>57660.0</v>
      </c>
      <c r="I10" s="17">
        <v>0.9</v>
      </c>
      <c r="J10" s="18" t="str">
        <f t="shared" si="2"/>
        <v>Low</v>
      </c>
      <c r="K10" s="20">
        <v>18.36</v>
      </c>
      <c r="L10" s="20">
        <v>22.91</v>
      </c>
      <c r="M10" s="20">
        <v>27.52</v>
      </c>
      <c r="N10" s="20">
        <v>29.76</v>
      </c>
      <c r="O10" s="20">
        <v>37.1</v>
      </c>
      <c r="P10" s="16">
        <v>38190.0</v>
      </c>
      <c r="Q10" s="16">
        <v>47660.0</v>
      </c>
      <c r="R10" s="16">
        <v>57250.0</v>
      </c>
      <c r="S10" s="16">
        <v>61900.0</v>
      </c>
      <c r="T10" s="16">
        <v>77180.0</v>
      </c>
      <c r="U10" s="16">
        <f t="shared" si="3"/>
        <v>0.2</v>
      </c>
      <c r="V10" s="21">
        <f t="shared" si="4"/>
        <v>0.726744186</v>
      </c>
      <c r="W10" s="22">
        <f t="shared" si="5"/>
        <v>2.020697168</v>
      </c>
      <c r="X10" s="24" t="str">
        <f t="shared" si="6"/>
        <v>OK</v>
      </c>
    </row>
    <row r="11" ht="15.75" customHeight="1">
      <c r="A11" s="14" t="s">
        <v>59</v>
      </c>
      <c r="B11" s="15" t="s">
        <v>60</v>
      </c>
      <c r="C11" s="16">
        <v>21650.0</v>
      </c>
      <c r="D11" s="17">
        <v>3.6</v>
      </c>
      <c r="E11" s="18" t="str">
        <f t="shared" si="1"/>
        <v>Low</v>
      </c>
      <c r="F11" s="19">
        <v>4.428</v>
      </c>
      <c r="G11" s="20">
        <v>29.37</v>
      </c>
      <c r="H11" s="16">
        <v>61090.0</v>
      </c>
      <c r="I11" s="17">
        <v>1.4</v>
      </c>
      <c r="J11" s="18" t="str">
        <f t="shared" si="2"/>
        <v>Low</v>
      </c>
      <c r="K11" s="20">
        <v>17.88</v>
      </c>
      <c r="L11" s="20">
        <v>22.43</v>
      </c>
      <c r="M11" s="20">
        <v>28.04</v>
      </c>
      <c r="N11" s="20">
        <v>36.77</v>
      </c>
      <c r="O11" s="20">
        <v>40.39</v>
      </c>
      <c r="P11" s="16">
        <v>37180.0</v>
      </c>
      <c r="Q11" s="16">
        <v>46640.0</v>
      </c>
      <c r="R11" s="16">
        <v>58320.0</v>
      </c>
      <c r="S11" s="16">
        <v>76490.0</v>
      </c>
      <c r="T11" s="16">
        <v>84000.0</v>
      </c>
      <c r="U11" s="16">
        <f t="shared" si="3"/>
        <v>1.33</v>
      </c>
      <c r="V11" s="21">
        <f t="shared" si="4"/>
        <v>4.743223966</v>
      </c>
      <c r="W11" s="22">
        <f t="shared" si="5"/>
        <v>2.258948546</v>
      </c>
      <c r="X11" s="24" t="str">
        <f t="shared" si="6"/>
        <v>OK</v>
      </c>
    </row>
    <row r="12" ht="15.75" customHeight="1">
      <c r="A12" s="14" t="s">
        <v>61</v>
      </c>
      <c r="B12" s="15" t="s">
        <v>62</v>
      </c>
      <c r="C12" s="16">
        <v>3070.0</v>
      </c>
      <c r="D12" s="17">
        <v>12.7</v>
      </c>
      <c r="E12" s="26" t="str">
        <f t="shared" si="1"/>
        <v>High</v>
      </c>
      <c r="F12" s="19">
        <v>4.899</v>
      </c>
      <c r="G12" s="20">
        <v>44.65</v>
      </c>
      <c r="H12" s="16">
        <v>92870.0</v>
      </c>
      <c r="I12" s="17">
        <v>3.1</v>
      </c>
      <c r="J12" s="18" t="str">
        <f t="shared" si="2"/>
        <v>Moderate</v>
      </c>
      <c r="K12" s="20">
        <v>21.99</v>
      </c>
      <c r="L12" s="20">
        <v>33.88</v>
      </c>
      <c r="M12" s="20">
        <v>46.38</v>
      </c>
      <c r="N12" s="20">
        <v>58.05</v>
      </c>
      <c r="O12" s="20">
        <v>59.9</v>
      </c>
      <c r="P12" s="16">
        <v>45730.0</v>
      </c>
      <c r="Q12" s="16">
        <v>70460.0</v>
      </c>
      <c r="R12" s="16">
        <v>96460.0</v>
      </c>
      <c r="S12" s="16">
        <v>120740.0</v>
      </c>
      <c r="T12" s="16">
        <v>124590.0</v>
      </c>
      <c r="U12" s="16">
        <f t="shared" si="3"/>
        <v>-1.73</v>
      </c>
      <c r="V12" s="21">
        <f t="shared" si="4"/>
        <v>-3.730056059</v>
      </c>
      <c r="W12" s="22">
        <f t="shared" si="5"/>
        <v>2.723965439</v>
      </c>
      <c r="X12" s="24" t="str">
        <f t="shared" si="6"/>
        <v>⚠ Use with caution</v>
      </c>
    </row>
    <row r="13" ht="15.75" customHeight="1">
      <c r="A13" s="14" t="s">
        <v>63</v>
      </c>
      <c r="B13" s="15" t="s">
        <v>64</v>
      </c>
      <c r="C13" s="16">
        <v>5690.0</v>
      </c>
      <c r="D13" s="17">
        <v>6.4</v>
      </c>
      <c r="E13" s="18" t="str">
        <f t="shared" si="1"/>
        <v>Moderate</v>
      </c>
      <c r="F13" s="19">
        <v>6.641</v>
      </c>
      <c r="G13" s="20">
        <v>32.02</v>
      </c>
      <c r="H13" s="16">
        <v>66600.0</v>
      </c>
      <c r="I13" s="17">
        <v>1.5</v>
      </c>
      <c r="J13" s="18" t="str">
        <f t="shared" si="2"/>
        <v>Low</v>
      </c>
      <c r="K13" s="20">
        <v>18.67</v>
      </c>
      <c r="L13" s="20">
        <v>23.26</v>
      </c>
      <c r="M13" s="20">
        <v>30.29</v>
      </c>
      <c r="N13" s="20">
        <v>39.44</v>
      </c>
      <c r="O13" s="20">
        <v>45.9</v>
      </c>
      <c r="P13" s="16">
        <v>38830.0</v>
      </c>
      <c r="Q13" s="16">
        <v>48380.0</v>
      </c>
      <c r="R13" s="16">
        <v>63000.0</v>
      </c>
      <c r="S13" s="16">
        <v>82040.0</v>
      </c>
      <c r="T13" s="16">
        <v>95470.0</v>
      </c>
      <c r="U13" s="16">
        <f t="shared" si="3"/>
        <v>1.73</v>
      </c>
      <c r="V13" s="21">
        <f t="shared" si="4"/>
        <v>5.711455926</v>
      </c>
      <c r="W13" s="22">
        <f t="shared" si="5"/>
        <v>2.458489555</v>
      </c>
      <c r="X13" s="24" t="str">
        <f t="shared" si="6"/>
        <v>OK</v>
      </c>
    </row>
    <row r="14" ht="15.75" customHeight="1">
      <c r="A14" s="14" t="s">
        <v>65</v>
      </c>
      <c r="B14" s="15" t="s">
        <v>66</v>
      </c>
      <c r="C14" s="16">
        <v>23120.0</v>
      </c>
      <c r="D14" s="17">
        <v>4.6</v>
      </c>
      <c r="E14" s="18" t="str">
        <f t="shared" si="1"/>
        <v>Low</v>
      </c>
      <c r="F14" s="19">
        <v>3.792</v>
      </c>
      <c r="G14" s="20">
        <v>44.34</v>
      </c>
      <c r="H14" s="16">
        <v>92230.0</v>
      </c>
      <c r="I14" s="17">
        <v>1.5</v>
      </c>
      <c r="J14" s="18" t="str">
        <f t="shared" si="2"/>
        <v>Low</v>
      </c>
      <c r="K14" s="20">
        <v>23.67</v>
      </c>
      <c r="L14" s="20">
        <v>35.35</v>
      </c>
      <c r="M14" s="20">
        <v>47.87</v>
      </c>
      <c r="N14" s="20">
        <v>56.47</v>
      </c>
      <c r="O14" s="20">
        <v>59.45</v>
      </c>
      <c r="P14" s="16">
        <v>49240.0</v>
      </c>
      <c r="Q14" s="16">
        <v>73520.0</v>
      </c>
      <c r="R14" s="16">
        <v>99560.0</v>
      </c>
      <c r="S14" s="16">
        <v>117460.0</v>
      </c>
      <c r="T14" s="16">
        <v>123660.0</v>
      </c>
      <c r="U14" s="16">
        <f t="shared" si="3"/>
        <v>-3.53</v>
      </c>
      <c r="V14" s="21">
        <f t="shared" si="4"/>
        <v>-7.374138291</v>
      </c>
      <c r="W14" s="22">
        <f t="shared" si="5"/>
        <v>2.511618082</v>
      </c>
      <c r="X14" s="24" t="str">
        <f t="shared" si="6"/>
        <v>OK</v>
      </c>
    </row>
    <row r="15" ht="15.75" customHeight="1">
      <c r="A15" s="14" t="s">
        <v>67</v>
      </c>
      <c r="B15" s="15" t="s">
        <v>68</v>
      </c>
      <c r="C15" s="16">
        <v>19020.0</v>
      </c>
      <c r="D15" s="17">
        <v>3.9</v>
      </c>
      <c r="E15" s="18" t="str">
        <f t="shared" si="1"/>
        <v>Low</v>
      </c>
      <c r="F15" s="19">
        <v>5.941</v>
      </c>
      <c r="G15" s="20">
        <v>34.05</v>
      </c>
      <c r="H15" s="16">
        <v>70820.0</v>
      </c>
      <c r="I15" s="17">
        <v>1.3</v>
      </c>
      <c r="J15" s="18" t="str">
        <f t="shared" si="2"/>
        <v>Low</v>
      </c>
      <c r="K15" s="20">
        <v>20.76</v>
      </c>
      <c r="L15" s="20">
        <v>24.04</v>
      </c>
      <c r="M15" s="20">
        <v>32.93</v>
      </c>
      <c r="N15" s="20">
        <v>43.89</v>
      </c>
      <c r="O15" s="20">
        <v>47.75</v>
      </c>
      <c r="P15" s="16">
        <v>43190.0</v>
      </c>
      <c r="Q15" s="16">
        <v>50000.0</v>
      </c>
      <c r="R15" s="16">
        <v>68490.0</v>
      </c>
      <c r="S15" s="16">
        <v>91290.0</v>
      </c>
      <c r="T15" s="16">
        <v>99310.0</v>
      </c>
      <c r="U15" s="16">
        <f t="shared" si="3"/>
        <v>1.12</v>
      </c>
      <c r="V15" s="21">
        <f t="shared" si="4"/>
        <v>3.401153963</v>
      </c>
      <c r="W15" s="22">
        <f t="shared" si="5"/>
        <v>2.300096339</v>
      </c>
      <c r="X15" s="24" t="str">
        <f t="shared" si="6"/>
        <v>OK</v>
      </c>
    </row>
    <row r="16" ht="15.75" customHeight="1">
      <c r="A16" s="14" t="s">
        <v>69</v>
      </c>
      <c r="B16" s="15" t="s">
        <v>70</v>
      </c>
      <c r="C16" s="16">
        <v>10310.0</v>
      </c>
      <c r="D16" s="17">
        <v>3.1</v>
      </c>
      <c r="E16" s="18" t="str">
        <f t="shared" si="1"/>
        <v>Low</v>
      </c>
      <c r="F16" s="19">
        <v>6.612</v>
      </c>
      <c r="G16" s="20">
        <v>30.38</v>
      </c>
      <c r="H16" s="16">
        <v>63190.0</v>
      </c>
      <c r="I16" s="17">
        <v>1.0</v>
      </c>
      <c r="J16" s="18" t="str">
        <f t="shared" si="2"/>
        <v>Low</v>
      </c>
      <c r="K16" s="20">
        <v>19.12</v>
      </c>
      <c r="L16" s="20">
        <v>22.31</v>
      </c>
      <c r="M16" s="20">
        <v>29.26</v>
      </c>
      <c r="N16" s="20">
        <v>38.45</v>
      </c>
      <c r="O16" s="20">
        <v>43.02</v>
      </c>
      <c r="P16" s="16">
        <v>39770.0</v>
      </c>
      <c r="Q16" s="16">
        <v>46400.0</v>
      </c>
      <c r="R16" s="16">
        <v>60860.0</v>
      </c>
      <c r="S16" s="16">
        <v>79970.0</v>
      </c>
      <c r="T16" s="16">
        <v>89480.0</v>
      </c>
      <c r="U16" s="16">
        <f t="shared" si="3"/>
        <v>1.12</v>
      </c>
      <c r="V16" s="21">
        <f t="shared" si="4"/>
        <v>3.827751196</v>
      </c>
      <c r="W16" s="22">
        <f t="shared" si="5"/>
        <v>2.25</v>
      </c>
      <c r="X16" s="24" t="str">
        <f t="shared" si="6"/>
        <v>OK</v>
      </c>
    </row>
    <row r="17" ht="15.75" customHeight="1">
      <c r="A17" s="14" t="s">
        <v>71</v>
      </c>
      <c r="B17" s="15" t="s">
        <v>72</v>
      </c>
      <c r="C17" s="16">
        <v>6350.0</v>
      </c>
      <c r="D17" s="17">
        <v>6.2</v>
      </c>
      <c r="E17" s="18" t="str">
        <f t="shared" si="1"/>
        <v>Moderate</v>
      </c>
      <c r="F17" s="19">
        <v>4.418</v>
      </c>
      <c r="G17" s="20">
        <v>33.27</v>
      </c>
      <c r="H17" s="16">
        <v>69200.0</v>
      </c>
      <c r="I17" s="17">
        <v>1.4</v>
      </c>
      <c r="J17" s="18" t="str">
        <f t="shared" si="2"/>
        <v>Low</v>
      </c>
      <c r="K17" s="20">
        <v>20.51</v>
      </c>
      <c r="L17" s="20">
        <v>24.67</v>
      </c>
      <c r="M17" s="20">
        <v>31.66</v>
      </c>
      <c r="N17" s="20">
        <v>38.73</v>
      </c>
      <c r="O17" s="20">
        <v>46.55</v>
      </c>
      <c r="P17" s="16">
        <v>42660.0</v>
      </c>
      <c r="Q17" s="16">
        <v>51320.0</v>
      </c>
      <c r="R17" s="16">
        <v>65860.0</v>
      </c>
      <c r="S17" s="16">
        <v>80560.0</v>
      </c>
      <c r="T17" s="16">
        <v>96830.0</v>
      </c>
      <c r="U17" s="16">
        <f t="shared" si="3"/>
        <v>1.61</v>
      </c>
      <c r="V17" s="21">
        <f t="shared" si="4"/>
        <v>5.085281112</v>
      </c>
      <c r="W17" s="22">
        <f t="shared" si="5"/>
        <v>2.269624573</v>
      </c>
      <c r="X17" s="24" t="str">
        <f t="shared" si="6"/>
        <v>OK</v>
      </c>
    </row>
    <row r="18" ht="15.75" customHeight="1">
      <c r="A18" s="14" t="s">
        <v>73</v>
      </c>
      <c r="B18" s="15" t="s">
        <v>74</v>
      </c>
      <c r="C18" s="16">
        <v>11030.0</v>
      </c>
      <c r="D18" s="17">
        <v>3.7</v>
      </c>
      <c r="E18" s="18" t="str">
        <f t="shared" si="1"/>
        <v>Low</v>
      </c>
      <c r="F18" s="19">
        <v>5.516</v>
      </c>
      <c r="G18" s="20">
        <v>29.52</v>
      </c>
      <c r="H18" s="16">
        <v>61410.0</v>
      </c>
      <c r="I18" s="17">
        <v>1.4</v>
      </c>
      <c r="J18" s="18" t="str">
        <f t="shared" si="2"/>
        <v>Low</v>
      </c>
      <c r="K18" s="20">
        <v>17.84</v>
      </c>
      <c r="L18" s="20">
        <v>22.37</v>
      </c>
      <c r="M18" s="20">
        <v>28.71</v>
      </c>
      <c r="N18" s="20">
        <v>37.46</v>
      </c>
      <c r="O18" s="20">
        <v>40.99</v>
      </c>
      <c r="P18" s="16">
        <v>37110.0</v>
      </c>
      <c r="Q18" s="16">
        <v>46540.0</v>
      </c>
      <c r="R18" s="16">
        <v>59720.0</v>
      </c>
      <c r="S18" s="16">
        <v>77920.0</v>
      </c>
      <c r="T18" s="16">
        <v>85260.0</v>
      </c>
      <c r="U18" s="16">
        <f t="shared" si="3"/>
        <v>0.81</v>
      </c>
      <c r="V18" s="21">
        <f t="shared" si="4"/>
        <v>2.821316614</v>
      </c>
      <c r="W18" s="22">
        <f t="shared" si="5"/>
        <v>2.29764574</v>
      </c>
      <c r="X18" s="24" t="str">
        <f t="shared" si="6"/>
        <v>OK</v>
      </c>
    </row>
    <row r="19" ht="15.75" customHeight="1">
      <c r="A19" s="14" t="s">
        <v>75</v>
      </c>
      <c r="B19" s="15" t="s">
        <v>76</v>
      </c>
      <c r="C19" s="16">
        <v>10550.0</v>
      </c>
      <c r="D19" s="17">
        <v>4.3</v>
      </c>
      <c r="E19" s="18" t="str">
        <f t="shared" si="1"/>
        <v>Low</v>
      </c>
      <c r="F19" s="19">
        <v>5.453</v>
      </c>
      <c r="G19" s="20">
        <v>29.98</v>
      </c>
      <c r="H19" s="16">
        <v>62350.0</v>
      </c>
      <c r="I19" s="17">
        <v>1.2</v>
      </c>
      <c r="J19" s="18" t="str">
        <f t="shared" si="2"/>
        <v>Low</v>
      </c>
      <c r="K19" s="20">
        <v>18.63</v>
      </c>
      <c r="L19" s="20">
        <v>23.51</v>
      </c>
      <c r="M19" s="20">
        <v>29.59</v>
      </c>
      <c r="N19" s="20">
        <v>35.02</v>
      </c>
      <c r="O19" s="20">
        <v>39.33</v>
      </c>
      <c r="P19" s="16">
        <v>38750.0</v>
      </c>
      <c r="Q19" s="16">
        <v>48910.0</v>
      </c>
      <c r="R19" s="16">
        <v>61540.0</v>
      </c>
      <c r="S19" s="16">
        <v>72840.0</v>
      </c>
      <c r="T19" s="16">
        <v>81810.0</v>
      </c>
      <c r="U19" s="16">
        <f t="shared" si="3"/>
        <v>0.39</v>
      </c>
      <c r="V19" s="21">
        <f t="shared" si="4"/>
        <v>1.318012842</v>
      </c>
      <c r="W19" s="22">
        <f t="shared" si="5"/>
        <v>2.111111111</v>
      </c>
      <c r="X19" s="24" t="str">
        <f t="shared" si="6"/>
        <v>OK</v>
      </c>
    </row>
    <row r="20" ht="15.75" customHeight="1">
      <c r="A20" s="14" t="s">
        <v>77</v>
      </c>
      <c r="B20" s="15" t="s">
        <v>78</v>
      </c>
      <c r="C20" s="16">
        <v>3780.0</v>
      </c>
      <c r="D20" s="17">
        <v>9.1</v>
      </c>
      <c r="E20" s="26" t="str">
        <f t="shared" si="1"/>
        <v>High</v>
      </c>
      <c r="F20" s="19">
        <v>5.894</v>
      </c>
      <c r="G20" s="20">
        <v>37.14</v>
      </c>
      <c r="H20" s="16">
        <v>77250.0</v>
      </c>
      <c r="I20" s="17">
        <v>3.2</v>
      </c>
      <c r="J20" s="18" t="str">
        <f t="shared" si="2"/>
        <v>Moderate</v>
      </c>
      <c r="K20" s="20">
        <v>26.05</v>
      </c>
      <c r="L20" s="20">
        <v>30.25</v>
      </c>
      <c r="M20" s="20">
        <v>36.24</v>
      </c>
      <c r="N20" s="20">
        <v>40.57</v>
      </c>
      <c r="O20" s="20">
        <v>55.63</v>
      </c>
      <c r="P20" s="16">
        <v>54180.0</v>
      </c>
      <c r="Q20" s="16">
        <v>62930.0</v>
      </c>
      <c r="R20" s="16">
        <v>75380.0</v>
      </c>
      <c r="S20" s="16">
        <v>84390.0</v>
      </c>
      <c r="T20" s="16">
        <v>115720.0</v>
      </c>
      <c r="U20" s="16">
        <f t="shared" si="3"/>
        <v>0.9</v>
      </c>
      <c r="V20" s="21">
        <f t="shared" si="4"/>
        <v>2.483443709</v>
      </c>
      <c r="W20" s="22">
        <f t="shared" si="5"/>
        <v>2.135508637</v>
      </c>
      <c r="X20" s="24" t="str">
        <f t="shared" si="6"/>
        <v>⚠ Use with caution</v>
      </c>
    </row>
    <row r="21" ht="15.75" customHeight="1">
      <c r="A21" s="14" t="s">
        <v>79</v>
      </c>
      <c r="B21" s="15" t="s">
        <v>80</v>
      </c>
      <c r="C21" s="16">
        <v>13690.0</v>
      </c>
      <c r="D21" s="17">
        <v>6.4</v>
      </c>
      <c r="E21" s="18" t="str">
        <f t="shared" si="1"/>
        <v>Moderate</v>
      </c>
      <c r="F21" s="19">
        <v>4.954</v>
      </c>
      <c r="G21" s="20">
        <v>36.28</v>
      </c>
      <c r="H21" s="16">
        <v>75450.0</v>
      </c>
      <c r="I21" s="17">
        <v>1.9</v>
      </c>
      <c r="J21" s="18" t="str">
        <f t="shared" si="2"/>
        <v>Low</v>
      </c>
      <c r="K21" s="20">
        <v>22.33</v>
      </c>
      <c r="L21" s="20">
        <v>27.73</v>
      </c>
      <c r="M21" s="20">
        <v>35.33</v>
      </c>
      <c r="N21" s="20">
        <v>46.16</v>
      </c>
      <c r="O21" s="20">
        <v>56.91</v>
      </c>
      <c r="P21" s="16">
        <v>46450.0</v>
      </c>
      <c r="Q21" s="16">
        <v>57680.0</v>
      </c>
      <c r="R21" s="16">
        <v>73490.0</v>
      </c>
      <c r="S21" s="16">
        <v>96010.0</v>
      </c>
      <c r="T21" s="16">
        <v>118370.0</v>
      </c>
      <c r="U21" s="16">
        <f t="shared" si="3"/>
        <v>0.95</v>
      </c>
      <c r="V21" s="21">
        <f t="shared" si="4"/>
        <v>2.688932918</v>
      </c>
      <c r="W21" s="22">
        <f t="shared" si="5"/>
        <v>2.548589342</v>
      </c>
      <c r="X21" s="24" t="str">
        <f t="shared" si="6"/>
        <v>OK</v>
      </c>
    </row>
    <row r="22" ht="15.75" customHeight="1">
      <c r="A22" s="14" t="s">
        <v>81</v>
      </c>
      <c r="B22" s="15" t="s">
        <v>82</v>
      </c>
      <c r="C22" s="16">
        <v>17810.0</v>
      </c>
      <c r="D22" s="17">
        <v>5.7</v>
      </c>
      <c r="E22" s="18" t="str">
        <f t="shared" si="1"/>
        <v>Moderate</v>
      </c>
      <c r="F22" s="19">
        <v>4.895</v>
      </c>
      <c r="G22" s="20">
        <v>39.21</v>
      </c>
      <c r="H22" s="16">
        <v>81560.0</v>
      </c>
      <c r="I22" s="17">
        <v>2.5</v>
      </c>
      <c r="J22" s="18" t="str">
        <f t="shared" si="2"/>
        <v>Moderate</v>
      </c>
      <c r="K22" s="20">
        <v>22.59</v>
      </c>
      <c r="L22" s="20">
        <v>27.82</v>
      </c>
      <c r="M22" s="20">
        <v>38.18</v>
      </c>
      <c r="N22" s="20">
        <v>48.31</v>
      </c>
      <c r="O22" s="20">
        <v>61.64</v>
      </c>
      <c r="P22" s="16">
        <v>46990.0</v>
      </c>
      <c r="Q22" s="16">
        <v>57860.0</v>
      </c>
      <c r="R22" s="16">
        <v>79420.0</v>
      </c>
      <c r="S22" s="16">
        <v>100480.0</v>
      </c>
      <c r="T22" s="16">
        <v>128210.0</v>
      </c>
      <c r="U22" s="16">
        <f t="shared" si="3"/>
        <v>1.03</v>
      </c>
      <c r="V22" s="21">
        <f t="shared" si="4"/>
        <v>2.697747512</v>
      </c>
      <c r="W22" s="22">
        <f t="shared" si="5"/>
        <v>2.728640992</v>
      </c>
      <c r="X22" s="24" t="str">
        <f t="shared" si="6"/>
        <v>OK</v>
      </c>
    </row>
    <row r="23" ht="15.75" customHeight="1">
      <c r="A23" s="14" t="s">
        <v>83</v>
      </c>
      <c r="B23" s="15" t="s">
        <v>84</v>
      </c>
      <c r="C23" s="16">
        <v>23530.0</v>
      </c>
      <c r="D23" s="17">
        <v>3.5</v>
      </c>
      <c r="E23" s="18" t="str">
        <f t="shared" si="1"/>
        <v>Low</v>
      </c>
      <c r="F23" s="19">
        <v>5.343</v>
      </c>
      <c r="G23" s="20">
        <v>35.5</v>
      </c>
      <c r="H23" s="16">
        <v>73840.0</v>
      </c>
      <c r="I23" s="17">
        <v>1.7</v>
      </c>
      <c r="J23" s="18" t="str">
        <f t="shared" si="2"/>
        <v>Low</v>
      </c>
      <c r="K23" s="20">
        <v>20.66</v>
      </c>
      <c r="L23" s="20">
        <v>24.21</v>
      </c>
      <c r="M23" s="20">
        <v>36.67</v>
      </c>
      <c r="N23" s="20">
        <v>44.38</v>
      </c>
      <c r="O23" s="20">
        <v>49.58</v>
      </c>
      <c r="P23" s="16">
        <v>42980.0</v>
      </c>
      <c r="Q23" s="16">
        <v>50360.0</v>
      </c>
      <c r="R23" s="16">
        <v>76270.0</v>
      </c>
      <c r="S23" s="16">
        <v>92300.0</v>
      </c>
      <c r="T23" s="16">
        <v>103120.0</v>
      </c>
      <c r="U23" s="16">
        <f t="shared" si="3"/>
        <v>-1.17</v>
      </c>
      <c r="V23" s="21">
        <f t="shared" si="4"/>
        <v>-3.190619035</v>
      </c>
      <c r="W23" s="22">
        <f t="shared" si="5"/>
        <v>2.399806389</v>
      </c>
      <c r="X23" s="24" t="str">
        <f t="shared" si="6"/>
        <v>OK</v>
      </c>
    </row>
    <row r="24" ht="15.75" customHeight="1">
      <c r="A24" s="14" t="s">
        <v>85</v>
      </c>
      <c r="B24" s="15" t="s">
        <v>86</v>
      </c>
      <c r="C24" s="16">
        <v>14350.0</v>
      </c>
      <c r="D24" s="17">
        <v>5.0</v>
      </c>
      <c r="E24" s="18" t="str">
        <f t="shared" si="1"/>
        <v>Moderate</v>
      </c>
      <c r="F24" s="19">
        <v>4.863</v>
      </c>
      <c r="G24" s="20">
        <v>38.86</v>
      </c>
      <c r="H24" s="16">
        <v>80830.0</v>
      </c>
      <c r="I24" s="17">
        <v>2.5</v>
      </c>
      <c r="J24" s="18" t="str">
        <f t="shared" si="2"/>
        <v>Moderate</v>
      </c>
      <c r="K24" s="20">
        <v>22.83</v>
      </c>
      <c r="L24" s="20">
        <v>28.09</v>
      </c>
      <c r="M24" s="20">
        <v>37.58</v>
      </c>
      <c r="N24" s="20">
        <v>48.76</v>
      </c>
      <c r="O24" s="20">
        <v>57.13</v>
      </c>
      <c r="P24" s="16">
        <v>47480.0</v>
      </c>
      <c r="Q24" s="16">
        <v>58430.0</v>
      </c>
      <c r="R24" s="16">
        <v>78160.0</v>
      </c>
      <c r="S24" s="16">
        <v>101410.0</v>
      </c>
      <c r="T24" s="16">
        <v>118820.0</v>
      </c>
      <c r="U24" s="16">
        <f t="shared" si="3"/>
        <v>1.28</v>
      </c>
      <c r="V24" s="21">
        <f t="shared" si="4"/>
        <v>3.406067057</v>
      </c>
      <c r="W24" s="22">
        <f t="shared" si="5"/>
        <v>2.502409111</v>
      </c>
      <c r="X24" s="24" t="str">
        <f t="shared" si="6"/>
        <v>OK</v>
      </c>
    </row>
    <row r="25" ht="15.75" customHeight="1">
      <c r="A25" s="14" t="s">
        <v>87</v>
      </c>
      <c r="B25" s="15" t="s">
        <v>88</v>
      </c>
      <c r="C25" s="16">
        <v>6610.0</v>
      </c>
      <c r="D25" s="17">
        <v>3.1</v>
      </c>
      <c r="E25" s="18" t="str">
        <f t="shared" si="1"/>
        <v>Low</v>
      </c>
      <c r="F25" s="19">
        <v>5.682</v>
      </c>
      <c r="G25" s="20">
        <v>27.88</v>
      </c>
      <c r="H25" s="16">
        <v>58000.0</v>
      </c>
      <c r="I25" s="17">
        <v>0.9</v>
      </c>
      <c r="J25" s="18" t="str">
        <f t="shared" si="2"/>
        <v>Low</v>
      </c>
      <c r="K25" s="20">
        <v>18.36</v>
      </c>
      <c r="L25" s="20">
        <v>22.77</v>
      </c>
      <c r="M25" s="20">
        <v>29.26</v>
      </c>
      <c r="N25" s="20">
        <v>30.64</v>
      </c>
      <c r="O25" s="20">
        <v>36.8</v>
      </c>
      <c r="P25" s="16">
        <v>38200.0</v>
      </c>
      <c r="Q25" s="16">
        <v>47350.0</v>
      </c>
      <c r="R25" s="16">
        <v>60860.0</v>
      </c>
      <c r="S25" s="16">
        <v>63740.0</v>
      </c>
      <c r="T25" s="16">
        <v>76540.0</v>
      </c>
      <c r="U25" s="16">
        <f t="shared" si="3"/>
        <v>-1.38</v>
      </c>
      <c r="V25" s="21">
        <f t="shared" si="4"/>
        <v>-4.716336295</v>
      </c>
      <c r="W25" s="22">
        <f t="shared" si="5"/>
        <v>2.004357298</v>
      </c>
      <c r="X25" s="24" t="str">
        <f t="shared" si="6"/>
        <v>OK</v>
      </c>
    </row>
    <row r="26" ht="15.75" customHeight="1">
      <c r="A26" s="14" t="s">
        <v>89</v>
      </c>
      <c r="B26" s="15" t="s">
        <v>90</v>
      </c>
      <c r="C26" s="16">
        <v>12780.0</v>
      </c>
      <c r="D26" s="17">
        <v>3.7</v>
      </c>
      <c r="E26" s="18" t="str">
        <f t="shared" si="1"/>
        <v>Low</v>
      </c>
      <c r="F26" s="19">
        <v>4.354</v>
      </c>
      <c r="G26" s="20">
        <v>34.77</v>
      </c>
      <c r="H26" s="16">
        <v>72310.0</v>
      </c>
      <c r="I26" s="17">
        <v>1.7</v>
      </c>
      <c r="J26" s="18" t="str">
        <f t="shared" si="2"/>
        <v>Low</v>
      </c>
      <c r="K26" s="20">
        <v>21.09</v>
      </c>
      <c r="L26" s="20">
        <v>23.95</v>
      </c>
      <c r="M26" s="20">
        <v>31.45</v>
      </c>
      <c r="N26" s="20">
        <v>45.08</v>
      </c>
      <c r="O26" s="20">
        <v>50.03</v>
      </c>
      <c r="P26" s="16">
        <v>43860.0</v>
      </c>
      <c r="Q26" s="16">
        <v>49810.0</v>
      </c>
      <c r="R26" s="16">
        <v>65410.0</v>
      </c>
      <c r="S26" s="16">
        <v>93760.0</v>
      </c>
      <c r="T26" s="16">
        <v>104060.0</v>
      </c>
      <c r="U26" s="16">
        <f t="shared" si="3"/>
        <v>3.32</v>
      </c>
      <c r="V26" s="21">
        <f t="shared" si="4"/>
        <v>10.55643879</v>
      </c>
      <c r="W26" s="22">
        <f t="shared" si="5"/>
        <v>2.37221432</v>
      </c>
      <c r="X26" s="24" t="str">
        <f t="shared" si="6"/>
        <v>OK</v>
      </c>
    </row>
    <row r="27" ht="15.75" customHeight="1">
      <c r="A27" s="14" t="s">
        <v>91</v>
      </c>
      <c r="B27" s="15" t="s">
        <v>92</v>
      </c>
      <c r="C27" s="16">
        <v>2750.0</v>
      </c>
      <c r="D27" s="17">
        <v>3.8</v>
      </c>
      <c r="E27" s="18" t="str">
        <f t="shared" si="1"/>
        <v>Low</v>
      </c>
      <c r="F27" s="19">
        <v>5.366</v>
      </c>
      <c r="G27" s="20">
        <v>34.58</v>
      </c>
      <c r="H27" s="16">
        <v>71930.0</v>
      </c>
      <c r="I27" s="17">
        <v>1.5</v>
      </c>
      <c r="J27" s="18" t="str">
        <f t="shared" si="2"/>
        <v>Low</v>
      </c>
      <c r="K27" s="20">
        <v>23.62</v>
      </c>
      <c r="L27" s="20">
        <v>29.04</v>
      </c>
      <c r="M27" s="20">
        <v>36.9</v>
      </c>
      <c r="N27" s="20">
        <v>39.14</v>
      </c>
      <c r="O27" s="20">
        <v>43.03</v>
      </c>
      <c r="P27" s="16">
        <v>49130.0</v>
      </c>
      <c r="Q27" s="16">
        <v>60400.0</v>
      </c>
      <c r="R27" s="16">
        <v>76760.0</v>
      </c>
      <c r="S27" s="16">
        <v>81420.0</v>
      </c>
      <c r="T27" s="16">
        <v>89510.0</v>
      </c>
      <c r="U27" s="16">
        <f t="shared" si="3"/>
        <v>-2.32</v>
      </c>
      <c r="V27" s="21">
        <f t="shared" si="4"/>
        <v>-6.287262873</v>
      </c>
      <c r="W27" s="22">
        <f t="shared" si="5"/>
        <v>1.821761219</v>
      </c>
      <c r="X27" s="24" t="str">
        <f t="shared" si="6"/>
        <v>OK</v>
      </c>
    </row>
    <row r="28" ht="15.75" customHeight="1">
      <c r="A28" s="14" t="s">
        <v>93</v>
      </c>
      <c r="B28" s="15" t="s">
        <v>94</v>
      </c>
      <c r="C28" s="16">
        <v>6440.0</v>
      </c>
      <c r="D28" s="17">
        <v>6.5</v>
      </c>
      <c r="E28" s="18" t="str">
        <f t="shared" si="1"/>
        <v>Moderate</v>
      </c>
      <c r="F28" s="19">
        <v>6.286</v>
      </c>
      <c r="G28" s="20">
        <v>30.75</v>
      </c>
      <c r="H28" s="16">
        <v>63960.0</v>
      </c>
      <c r="I28" s="17">
        <v>1.1</v>
      </c>
      <c r="J28" s="18" t="str">
        <f t="shared" si="2"/>
        <v>Low</v>
      </c>
      <c r="K28" s="20">
        <v>19.42</v>
      </c>
      <c r="L28" s="20">
        <v>23.14</v>
      </c>
      <c r="M28" s="20">
        <v>29.24</v>
      </c>
      <c r="N28" s="20">
        <v>38.04</v>
      </c>
      <c r="O28" s="20">
        <v>45.21</v>
      </c>
      <c r="P28" s="16">
        <v>40400.0</v>
      </c>
      <c r="Q28" s="16">
        <v>48140.0</v>
      </c>
      <c r="R28" s="16">
        <v>60820.0</v>
      </c>
      <c r="S28" s="16">
        <v>79130.0</v>
      </c>
      <c r="T28" s="16">
        <v>94040.0</v>
      </c>
      <c r="U28" s="16">
        <f t="shared" si="3"/>
        <v>1.51</v>
      </c>
      <c r="V28" s="21">
        <f t="shared" si="4"/>
        <v>5.164158687</v>
      </c>
      <c r="W28" s="22">
        <f t="shared" si="5"/>
        <v>2.328012358</v>
      </c>
      <c r="X28" s="24" t="str">
        <f t="shared" si="6"/>
        <v>OK</v>
      </c>
    </row>
    <row r="29" ht="15.75" customHeight="1">
      <c r="A29" s="14" t="s">
        <v>95</v>
      </c>
      <c r="B29" s="15" t="s">
        <v>96</v>
      </c>
      <c r="C29" s="16">
        <v>8350.0</v>
      </c>
      <c r="D29" s="17">
        <v>6.6</v>
      </c>
      <c r="E29" s="18" t="str">
        <f t="shared" si="1"/>
        <v>Moderate</v>
      </c>
      <c r="F29" s="19">
        <v>5.381</v>
      </c>
      <c r="G29" s="20">
        <v>36.4</v>
      </c>
      <c r="H29" s="16">
        <v>75710.0</v>
      </c>
      <c r="I29" s="17">
        <v>2.9</v>
      </c>
      <c r="J29" s="18" t="str">
        <f t="shared" si="2"/>
        <v>Moderate</v>
      </c>
      <c r="K29" s="20">
        <v>22.17</v>
      </c>
      <c r="L29" s="20">
        <v>23.52</v>
      </c>
      <c r="M29" s="20">
        <v>35.37</v>
      </c>
      <c r="N29" s="20">
        <v>46.42</v>
      </c>
      <c r="O29" s="20">
        <v>58.27</v>
      </c>
      <c r="P29" s="16">
        <v>46110.0</v>
      </c>
      <c r="Q29" s="16">
        <v>48920.0</v>
      </c>
      <c r="R29" s="16">
        <v>73570.0</v>
      </c>
      <c r="S29" s="16">
        <v>96550.0</v>
      </c>
      <c r="T29" s="16">
        <v>121200.0</v>
      </c>
      <c r="U29" s="16">
        <f t="shared" si="3"/>
        <v>1.03</v>
      </c>
      <c r="V29" s="21">
        <f t="shared" si="4"/>
        <v>2.912072378</v>
      </c>
      <c r="W29" s="22">
        <f t="shared" si="5"/>
        <v>2.628326567</v>
      </c>
      <c r="X29" s="24" t="str">
        <f t="shared" si="6"/>
        <v>OK</v>
      </c>
    </row>
    <row r="30" ht="15.75" customHeight="1">
      <c r="A30" s="14" t="s">
        <v>99</v>
      </c>
      <c r="B30" s="15" t="s">
        <v>100</v>
      </c>
      <c r="C30" s="16">
        <v>3330.0</v>
      </c>
      <c r="D30" s="17">
        <v>7.2</v>
      </c>
      <c r="E30" s="18" t="str">
        <f t="shared" si="1"/>
        <v>Moderate</v>
      </c>
      <c r="F30" s="19">
        <v>4.867</v>
      </c>
      <c r="G30" s="20">
        <v>31.63</v>
      </c>
      <c r="H30" s="16">
        <v>65780.0</v>
      </c>
      <c r="I30" s="17">
        <v>2.2</v>
      </c>
      <c r="J30" s="18" t="str">
        <f t="shared" si="2"/>
        <v>Moderate</v>
      </c>
      <c r="K30" s="20">
        <v>20.76</v>
      </c>
      <c r="L30" s="20">
        <v>23.28</v>
      </c>
      <c r="M30" s="20">
        <v>30.21</v>
      </c>
      <c r="N30" s="20">
        <v>37.68</v>
      </c>
      <c r="O30" s="20">
        <v>44.16</v>
      </c>
      <c r="P30" s="16">
        <v>43190.0</v>
      </c>
      <c r="Q30" s="16">
        <v>48420.0</v>
      </c>
      <c r="R30" s="16">
        <v>62840.0</v>
      </c>
      <c r="S30" s="16">
        <v>78370.0</v>
      </c>
      <c r="T30" s="16">
        <v>91850.0</v>
      </c>
      <c r="U30" s="16">
        <f t="shared" si="3"/>
        <v>1.42</v>
      </c>
      <c r="V30" s="21">
        <f t="shared" si="4"/>
        <v>4.700430321</v>
      </c>
      <c r="W30" s="22">
        <f t="shared" si="5"/>
        <v>2.12716763</v>
      </c>
      <c r="X30" s="24" t="str">
        <f t="shared" si="6"/>
        <v>OK</v>
      </c>
    </row>
    <row r="31" ht="15.75" customHeight="1">
      <c r="A31" s="14" t="s">
        <v>101</v>
      </c>
      <c r="B31" s="15" t="s">
        <v>102</v>
      </c>
      <c r="C31" s="16">
        <v>13520.0</v>
      </c>
      <c r="D31" s="17">
        <v>5.5</v>
      </c>
      <c r="E31" s="18" t="str">
        <f t="shared" si="1"/>
        <v>Moderate</v>
      </c>
      <c r="F31" s="19">
        <v>3.154</v>
      </c>
      <c r="G31" s="20">
        <v>41.68</v>
      </c>
      <c r="H31" s="16">
        <v>86700.0</v>
      </c>
      <c r="I31" s="17">
        <v>2.1</v>
      </c>
      <c r="J31" s="18" t="str">
        <f t="shared" si="2"/>
        <v>Moderate</v>
      </c>
      <c r="K31" s="20">
        <v>23.35</v>
      </c>
      <c r="L31" s="20">
        <v>30.0</v>
      </c>
      <c r="M31" s="20">
        <v>37.14</v>
      </c>
      <c r="N31" s="20">
        <v>58.23</v>
      </c>
      <c r="O31" s="20">
        <v>62.91</v>
      </c>
      <c r="P31" s="16">
        <v>48570.0</v>
      </c>
      <c r="Q31" s="16">
        <v>62400.0</v>
      </c>
      <c r="R31" s="16">
        <v>77250.0</v>
      </c>
      <c r="S31" s="16">
        <v>121110.0</v>
      </c>
      <c r="T31" s="16">
        <v>130860.0</v>
      </c>
      <c r="U31" s="16">
        <f t="shared" si="3"/>
        <v>4.54</v>
      </c>
      <c r="V31" s="21">
        <f t="shared" si="4"/>
        <v>12.22401723</v>
      </c>
      <c r="W31" s="22">
        <f t="shared" si="5"/>
        <v>2.694218415</v>
      </c>
      <c r="X31" s="24" t="str">
        <f t="shared" si="6"/>
        <v>OK</v>
      </c>
    </row>
    <row r="32" ht="15.75" customHeight="1">
      <c r="A32" s="14" t="s">
        <v>103</v>
      </c>
      <c r="B32" s="15" t="s">
        <v>104</v>
      </c>
      <c r="C32" s="16">
        <v>5020.0</v>
      </c>
      <c r="D32" s="17">
        <v>6.7</v>
      </c>
      <c r="E32" s="18" t="str">
        <f t="shared" si="1"/>
        <v>Moderate</v>
      </c>
      <c r="F32" s="19">
        <v>5.764</v>
      </c>
      <c r="G32" s="20">
        <v>28.66</v>
      </c>
      <c r="H32" s="16">
        <v>59620.0</v>
      </c>
      <c r="I32" s="17">
        <v>3.0</v>
      </c>
      <c r="J32" s="18" t="str">
        <f t="shared" si="2"/>
        <v>Moderate</v>
      </c>
      <c r="K32" s="20">
        <v>17.62</v>
      </c>
      <c r="L32" s="20">
        <v>22.46</v>
      </c>
      <c r="M32" s="20">
        <v>28.07</v>
      </c>
      <c r="N32" s="20">
        <v>35.28</v>
      </c>
      <c r="O32" s="20">
        <v>41.74</v>
      </c>
      <c r="P32" s="16">
        <v>36650.0</v>
      </c>
      <c r="Q32" s="16">
        <v>46730.0</v>
      </c>
      <c r="R32" s="16">
        <v>58390.0</v>
      </c>
      <c r="S32" s="16">
        <v>73380.0</v>
      </c>
      <c r="T32" s="16">
        <v>86830.0</v>
      </c>
      <c r="U32" s="16">
        <f t="shared" si="3"/>
        <v>0.59</v>
      </c>
      <c r="V32" s="21">
        <f t="shared" si="4"/>
        <v>2.101888137</v>
      </c>
      <c r="W32" s="22">
        <f t="shared" si="5"/>
        <v>2.368898978</v>
      </c>
      <c r="X32" s="24" t="str">
        <f t="shared" si="6"/>
        <v>OK</v>
      </c>
    </row>
    <row r="33" ht="15.75" customHeight="1">
      <c r="A33" s="14" t="s">
        <v>106</v>
      </c>
      <c r="B33" s="15" t="s">
        <v>107</v>
      </c>
      <c r="C33" s="16">
        <v>40130.0</v>
      </c>
      <c r="D33" s="17">
        <v>4.4</v>
      </c>
      <c r="E33" s="18" t="str">
        <f t="shared" si="1"/>
        <v>Low</v>
      </c>
      <c r="F33" s="19">
        <v>4.142</v>
      </c>
      <c r="G33" s="20">
        <v>40.8</v>
      </c>
      <c r="H33" s="16">
        <v>84860.0</v>
      </c>
      <c r="I33" s="17">
        <v>1.5</v>
      </c>
      <c r="J33" s="18" t="str">
        <f t="shared" si="2"/>
        <v>Low</v>
      </c>
      <c r="K33" s="20">
        <v>21.99</v>
      </c>
      <c r="L33" s="20">
        <v>29.08</v>
      </c>
      <c r="M33" s="20">
        <v>37.86</v>
      </c>
      <c r="N33" s="20">
        <v>51.16</v>
      </c>
      <c r="O33" s="20">
        <v>63.29</v>
      </c>
      <c r="P33" s="16">
        <v>45740.0</v>
      </c>
      <c r="Q33" s="16">
        <v>60480.0</v>
      </c>
      <c r="R33" s="16">
        <v>78750.0</v>
      </c>
      <c r="S33" s="16">
        <v>106420.0</v>
      </c>
      <c r="T33" s="16">
        <v>131640.0</v>
      </c>
      <c r="U33" s="16">
        <f t="shared" si="3"/>
        <v>2.94</v>
      </c>
      <c r="V33" s="21">
        <f t="shared" si="4"/>
        <v>7.765451664</v>
      </c>
      <c r="W33" s="22">
        <f t="shared" si="5"/>
        <v>2.878126421</v>
      </c>
      <c r="X33" s="24" t="str">
        <f t="shared" si="6"/>
        <v>OK</v>
      </c>
    </row>
    <row r="34" ht="15.75" customHeight="1">
      <c r="A34" s="14" t="s">
        <v>110</v>
      </c>
      <c r="B34" s="15" t="s">
        <v>111</v>
      </c>
      <c r="C34" s="16">
        <v>21640.0</v>
      </c>
      <c r="D34" s="17">
        <v>3.5</v>
      </c>
      <c r="E34" s="18" t="str">
        <f t="shared" si="1"/>
        <v>Low</v>
      </c>
      <c r="F34" s="19">
        <v>4.378</v>
      </c>
      <c r="G34" s="20">
        <v>27.33</v>
      </c>
      <c r="H34" s="16">
        <v>56850.0</v>
      </c>
      <c r="I34" s="17">
        <v>1.0</v>
      </c>
      <c r="J34" s="18" t="str">
        <f t="shared" si="2"/>
        <v>Low</v>
      </c>
      <c r="K34" s="20">
        <v>19.29</v>
      </c>
      <c r="L34" s="20">
        <v>22.63</v>
      </c>
      <c r="M34" s="20">
        <v>27.31</v>
      </c>
      <c r="N34" s="20">
        <v>29.77</v>
      </c>
      <c r="O34" s="20">
        <v>36.09</v>
      </c>
      <c r="P34" s="16">
        <v>40130.0</v>
      </c>
      <c r="Q34" s="16">
        <v>47070.0</v>
      </c>
      <c r="R34" s="16">
        <v>56800.0</v>
      </c>
      <c r="S34" s="16">
        <v>61920.0</v>
      </c>
      <c r="T34" s="16">
        <v>75060.0</v>
      </c>
      <c r="U34" s="16">
        <f t="shared" si="3"/>
        <v>0.02</v>
      </c>
      <c r="V34" s="21">
        <f t="shared" si="4"/>
        <v>0.07323324789</v>
      </c>
      <c r="W34" s="22">
        <f t="shared" si="5"/>
        <v>1.870917574</v>
      </c>
      <c r="X34" s="24" t="str">
        <f t="shared" si="6"/>
        <v>OK</v>
      </c>
    </row>
    <row r="35" ht="15.75" customHeight="1">
      <c r="A35" s="14" t="s">
        <v>113</v>
      </c>
      <c r="B35" s="15" t="s">
        <v>115</v>
      </c>
      <c r="C35" s="16">
        <v>3570.0</v>
      </c>
      <c r="D35" s="17">
        <v>3.8</v>
      </c>
      <c r="E35" s="18" t="str">
        <f t="shared" si="1"/>
        <v>Low</v>
      </c>
      <c r="F35" s="19">
        <v>8.306</v>
      </c>
      <c r="G35" s="20">
        <v>33.87</v>
      </c>
      <c r="H35" s="16">
        <v>70460.0</v>
      </c>
      <c r="I35" s="17">
        <v>2.3</v>
      </c>
      <c r="J35" s="18" t="str">
        <f t="shared" si="2"/>
        <v>Moderate</v>
      </c>
      <c r="K35" s="20">
        <v>22.33</v>
      </c>
      <c r="L35" s="20">
        <v>27.36</v>
      </c>
      <c r="M35" s="20">
        <v>31.59</v>
      </c>
      <c r="N35" s="20">
        <v>38.71</v>
      </c>
      <c r="O35" s="20">
        <v>48.57</v>
      </c>
      <c r="P35" s="16">
        <v>46440.0</v>
      </c>
      <c r="Q35" s="16">
        <v>56920.0</v>
      </c>
      <c r="R35" s="16">
        <v>65710.0</v>
      </c>
      <c r="S35" s="16">
        <v>80510.0</v>
      </c>
      <c r="T35" s="16">
        <v>101020.0</v>
      </c>
      <c r="U35" s="16">
        <f t="shared" si="3"/>
        <v>2.28</v>
      </c>
      <c r="V35" s="21">
        <f t="shared" si="4"/>
        <v>7.217473884</v>
      </c>
      <c r="W35" s="22">
        <f t="shared" si="5"/>
        <v>2.175100761</v>
      </c>
      <c r="X35" s="24" t="str">
        <f t="shared" si="6"/>
        <v>OK</v>
      </c>
    </row>
    <row r="36" ht="15.75" customHeight="1">
      <c r="A36" s="14" t="s">
        <v>122</v>
      </c>
      <c r="B36" s="15" t="s">
        <v>123</v>
      </c>
      <c r="C36" s="16">
        <v>28950.0</v>
      </c>
      <c r="D36" s="17">
        <v>2.2</v>
      </c>
      <c r="E36" s="18" t="str">
        <f t="shared" si="1"/>
        <v>Low</v>
      </c>
      <c r="F36" s="19">
        <v>5.216</v>
      </c>
      <c r="G36" s="20">
        <v>33.09</v>
      </c>
      <c r="H36" s="16">
        <v>68840.0</v>
      </c>
      <c r="I36" s="17">
        <v>1.1</v>
      </c>
      <c r="J36" s="18" t="str">
        <f t="shared" si="2"/>
        <v>Low</v>
      </c>
      <c r="K36" s="20">
        <v>19.59</v>
      </c>
      <c r="L36" s="20">
        <v>24.1</v>
      </c>
      <c r="M36" s="20">
        <v>31.11</v>
      </c>
      <c r="N36" s="20">
        <v>38.7</v>
      </c>
      <c r="O36" s="20">
        <v>47.73</v>
      </c>
      <c r="P36" s="16">
        <v>40750.0</v>
      </c>
      <c r="Q36" s="16">
        <v>50120.0</v>
      </c>
      <c r="R36" s="16">
        <v>64700.0</v>
      </c>
      <c r="S36" s="16">
        <v>80500.0</v>
      </c>
      <c r="T36" s="16">
        <v>99280.0</v>
      </c>
      <c r="U36" s="16">
        <f t="shared" si="3"/>
        <v>1.98</v>
      </c>
      <c r="V36" s="21">
        <f t="shared" si="4"/>
        <v>6.364513018</v>
      </c>
      <c r="W36" s="22">
        <f t="shared" si="5"/>
        <v>2.436447167</v>
      </c>
      <c r="X36" s="24" t="str">
        <f t="shared" si="6"/>
        <v>OK</v>
      </c>
    </row>
    <row r="37" ht="15.75" customHeight="1">
      <c r="A37" s="14" t="s">
        <v>124</v>
      </c>
      <c r="B37" s="15" t="s">
        <v>119</v>
      </c>
      <c r="C37" s="16">
        <v>8500.0</v>
      </c>
      <c r="D37" s="17">
        <v>5.4</v>
      </c>
      <c r="E37" s="18" t="str">
        <f t="shared" si="1"/>
        <v>Moderate</v>
      </c>
      <c r="F37" s="19">
        <v>4.977</v>
      </c>
      <c r="G37" s="20">
        <v>30.49</v>
      </c>
      <c r="H37" s="16">
        <v>63410.0</v>
      </c>
      <c r="I37" s="17">
        <v>2.0</v>
      </c>
      <c r="J37" s="18" t="str">
        <f t="shared" si="2"/>
        <v>Moderate</v>
      </c>
      <c r="K37" s="20">
        <v>18.22</v>
      </c>
      <c r="L37" s="20">
        <v>22.9</v>
      </c>
      <c r="M37" s="20">
        <v>29.33</v>
      </c>
      <c r="N37" s="20">
        <v>36.78</v>
      </c>
      <c r="O37" s="20">
        <v>44.59</v>
      </c>
      <c r="P37" s="16">
        <v>37900.0</v>
      </c>
      <c r="Q37" s="16">
        <v>47640.0</v>
      </c>
      <c r="R37" s="16">
        <v>61010.0</v>
      </c>
      <c r="S37" s="16">
        <v>76510.0</v>
      </c>
      <c r="T37" s="16">
        <v>92740.0</v>
      </c>
      <c r="U37" s="16">
        <f t="shared" si="3"/>
        <v>1.16</v>
      </c>
      <c r="V37" s="21">
        <f t="shared" si="4"/>
        <v>3.954994886</v>
      </c>
      <c r="W37" s="22">
        <f t="shared" si="5"/>
        <v>2.447310648</v>
      </c>
      <c r="X37" s="24" t="str">
        <f t="shared" si="6"/>
        <v>OK</v>
      </c>
    </row>
    <row r="38" ht="15.75" customHeight="1">
      <c r="A38" s="14" t="s">
        <v>125</v>
      </c>
      <c r="B38" s="15" t="s">
        <v>109</v>
      </c>
      <c r="C38" s="16">
        <v>10590.0</v>
      </c>
      <c r="D38" s="17">
        <v>3.0</v>
      </c>
      <c r="E38" s="18" t="str">
        <f t="shared" si="1"/>
        <v>Low</v>
      </c>
      <c r="F38" s="19">
        <v>5.383</v>
      </c>
      <c r="G38" s="20">
        <v>47.96</v>
      </c>
      <c r="H38" s="16">
        <v>99750.0</v>
      </c>
      <c r="I38" s="17">
        <v>0.9</v>
      </c>
      <c r="J38" s="18" t="str">
        <f t="shared" si="2"/>
        <v>Low</v>
      </c>
      <c r="K38" s="20">
        <v>28.63</v>
      </c>
      <c r="L38" s="20">
        <v>38.03</v>
      </c>
      <c r="M38" s="20">
        <v>48.71</v>
      </c>
      <c r="N38" s="20">
        <v>58.5</v>
      </c>
      <c r="O38" s="20">
        <v>63.24</v>
      </c>
      <c r="P38" s="16">
        <v>59550.0</v>
      </c>
      <c r="Q38" s="16">
        <v>79110.0</v>
      </c>
      <c r="R38" s="16">
        <v>101310.0</v>
      </c>
      <c r="S38" s="16">
        <v>121680.0</v>
      </c>
      <c r="T38" s="16">
        <v>131530.0</v>
      </c>
      <c r="U38" s="16">
        <f t="shared" si="3"/>
        <v>-0.75</v>
      </c>
      <c r="V38" s="21">
        <f t="shared" si="4"/>
        <v>-1.539724902</v>
      </c>
      <c r="W38" s="22">
        <f t="shared" si="5"/>
        <v>2.208871813</v>
      </c>
      <c r="X38" s="24" t="str">
        <f t="shared" si="6"/>
        <v>OK</v>
      </c>
    </row>
    <row r="39" ht="15.75" customHeight="1">
      <c r="A39" s="14" t="s">
        <v>126</v>
      </c>
      <c r="B39" s="15" t="s">
        <v>127</v>
      </c>
      <c r="C39" s="16">
        <v>22730.0</v>
      </c>
      <c r="D39" s="17">
        <v>3.4</v>
      </c>
      <c r="E39" s="18" t="str">
        <f t="shared" si="1"/>
        <v>Low</v>
      </c>
      <c r="F39" s="19">
        <v>3.748</v>
      </c>
      <c r="G39" s="20">
        <v>36.43</v>
      </c>
      <c r="H39" s="16">
        <v>75770.0</v>
      </c>
      <c r="I39" s="17">
        <v>2.7</v>
      </c>
      <c r="J39" s="18" t="str">
        <f t="shared" si="2"/>
        <v>Moderate</v>
      </c>
      <c r="K39" s="20">
        <v>21.92</v>
      </c>
      <c r="L39" s="20">
        <v>26.51</v>
      </c>
      <c r="M39" s="20">
        <v>32.5</v>
      </c>
      <c r="N39" s="20">
        <v>45.92</v>
      </c>
      <c r="O39" s="20">
        <v>58.95</v>
      </c>
      <c r="P39" s="16">
        <v>45600.0</v>
      </c>
      <c r="Q39" s="16">
        <v>55140.0</v>
      </c>
      <c r="R39" s="16">
        <v>67600.0</v>
      </c>
      <c r="S39" s="16">
        <v>95500.0</v>
      </c>
      <c r="T39" s="16">
        <v>122620.0</v>
      </c>
      <c r="U39" s="16">
        <f t="shared" si="3"/>
        <v>3.93</v>
      </c>
      <c r="V39" s="21">
        <f t="shared" si="4"/>
        <v>12.09230769</v>
      </c>
      <c r="W39" s="22">
        <f t="shared" si="5"/>
        <v>2.689324818</v>
      </c>
      <c r="X39" s="24" t="str">
        <f t="shared" si="6"/>
        <v>OK</v>
      </c>
    </row>
    <row r="40" ht="15.75" customHeight="1">
      <c r="A40" s="14" t="s">
        <v>128</v>
      </c>
      <c r="B40" s="15" t="s">
        <v>114</v>
      </c>
      <c r="C40" s="16">
        <v>2420.0</v>
      </c>
      <c r="D40" s="17">
        <v>7.0</v>
      </c>
      <c r="E40" s="18" t="str">
        <f t="shared" si="1"/>
        <v>Moderate</v>
      </c>
      <c r="F40" s="19">
        <v>4.825</v>
      </c>
      <c r="G40" s="20">
        <v>35.65</v>
      </c>
      <c r="H40" s="16">
        <v>74150.0</v>
      </c>
      <c r="I40" s="17">
        <v>4.3</v>
      </c>
      <c r="J40" s="26" t="str">
        <f t="shared" si="2"/>
        <v>High</v>
      </c>
      <c r="K40" s="20">
        <v>20.67</v>
      </c>
      <c r="L40" s="20">
        <v>28.08</v>
      </c>
      <c r="M40" s="20">
        <v>35.62</v>
      </c>
      <c r="N40" s="20">
        <v>46.01</v>
      </c>
      <c r="O40" s="20">
        <v>49.44</v>
      </c>
      <c r="P40" s="16">
        <v>42990.0</v>
      </c>
      <c r="Q40" s="16">
        <v>58410.0</v>
      </c>
      <c r="R40" s="16">
        <v>74090.0</v>
      </c>
      <c r="S40" s="16">
        <v>95700.0</v>
      </c>
      <c r="T40" s="16">
        <v>102840.0</v>
      </c>
      <c r="U40" s="16">
        <f t="shared" si="3"/>
        <v>0.03</v>
      </c>
      <c r="V40" s="21">
        <f t="shared" si="4"/>
        <v>0.084222347</v>
      </c>
      <c r="W40" s="22">
        <f t="shared" si="5"/>
        <v>2.391872279</v>
      </c>
      <c r="X40" s="24" t="str">
        <f t="shared" si="6"/>
        <v>⚠ Use with caution</v>
      </c>
    </row>
    <row r="41" ht="15.75" customHeight="1">
      <c r="A41" s="14" t="s">
        <v>129</v>
      </c>
      <c r="B41" s="15" t="s">
        <v>112</v>
      </c>
      <c r="C41" s="16">
        <v>8010.0</v>
      </c>
      <c r="D41" s="17">
        <v>4.9</v>
      </c>
      <c r="E41" s="18" t="str">
        <f t="shared" si="1"/>
        <v>Low</v>
      </c>
      <c r="F41" s="19">
        <v>3.474</v>
      </c>
      <c r="G41" s="20">
        <v>28.38</v>
      </c>
      <c r="H41" s="16">
        <v>59030.0</v>
      </c>
      <c r="I41" s="17">
        <v>1.0</v>
      </c>
      <c r="J41" s="18" t="str">
        <f t="shared" si="2"/>
        <v>Low</v>
      </c>
      <c r="K41" s="20">
        <v>21.31</v>
      </c>
      <c r="L41" s="20">
        <v>23.03</v>
      </c>
      <c r="M41" s="20">
        <v>28.24</v>
      </c>
      <c r="N41" s="20">
        <v>31.82</v>
      </c>
      <c r="O41" s="20">
        <v>37.41</v>
      </c>
      <c r="P41" s="16">
        <v>44330.0</v>
      </c>
      <c r="Q41" s="16">
        <v>47910.0</v>
      </c>
      <c r="R41" s="16">
        <v>58740.0</v>
      </c>
      <c r="S41" s="16">
        <v>66190.0</v>
      </c>
      <c r="T41" s="16">
        <v>77800.0</v>
      </c>
      <c r="U41" s="16">
        <f t="shared" si="3"/>
        <v>0.14</v>
      </c>
      <c r="V41" s="21">
        <f t="shared" si="4"/>
        <v>0.4957507082</v>
      </c>
      <c r="W41" s="22">
        <f t="shared" si="5"/>
        <v>1.755513843</v>
      </c>
      <c r="X41" s="24" t="str">
        <f t="shared" si="6"/>
        <v>OK</v>
      </c>
    </row>
    <row r="42" ht="15.75" customHeight="1">
      <c r="A42" s="14" t="s">
        <v>130</v>
      </c>
      <c r="B42" s="15" t="s">
        <v>118</v>
      </c>
      <c r="C42" s="16">
        <v>2980.0</v>
      </c>
      <c r="D42" s="17">
        <v>6.5</v>
      </c>
      <c r="E42" s="18" t="str">
        <f t="shared" si="1"/>
        <v>Moderate</v>
      </c>
      <c r="F42" s="19">
        <v>6.51</v>
      </c>
      <c r="G42" s="20">
        <v>29.8</v>
      </c>
      <c r="H42" s="16">
        <v>61980.0</v>
      </c>
      <c r="I42" s="17">
        <v>2.5</v>
      </c>
      <c r="J42" s="18" t="str">
        <f t="shared" si="2"/>
        <v>Moderate</v>
      </c>
      <c r="K42" s="20">
        <v>21.31</v>
      </c>
      <c r="L42" s="20">
        <v>23.87</v>
      </c>
      <c r="M42" s="20">
        <v>29.51</v>
      </c>
      <c r="N42" s="20">
        <v>34.83</v>
      </c>
      <c r="O42" s="20">
        <v>38.49</v>
      </c>
      <c r="P42" s="16">
        <v>44320.0</v>
      </c>
      <c r="Q42" s="16">
        <v>49660.0</v>
      </c>
      <c r="R42" s="16">
        <v>61390.0</v>
      </c>
      <c r="S42" s="16">
        <v>72450.0</v>
      </c>
      <c r="T42" s="16">
        <v>80060.0</v>
      </c>
      <c r="U42" s="16">
        <f t="shared" si="3"/>
        <v>0.29</v>
      </c>
      <c r="V42" s="21">
        <f t="shared" si="4"/>
        <v>0.9827177228</v>
      </c>
      <c r="W42" s="22">
        <f t="shared" si="5"/>
        <v>1.806194275</v>
      </c>
      <c r="X42" s="24" t="str">
        <f t="shared" si="6"/>
        <v>OK</v>
      </c>
    </row>
    <row r="43" ht="15.75" customHeight="1">
      <c r="A43" s="14" t="s">
        <v>131</v>
      </c>
      <c r="B43" s="15" t="s">
        <v>117</v>
      </c>
      <c r="C43" s="16">
        <v>17070.0</v>
      </c>
      <c r="D43" s="17">
        <v>4.8</v>
      </c>
      <c r="E43" s="18" t="str">
        <f t="shared" si="1"/>
        <v>Low</v>
      </c>
      <c r="F43" s="19">
        <v>5.207</v>
      </c>
      <c r="G43" s="20">
        <v>30.55</v>
      </c>
      <c r="H43" s="16">
        <v>63540.0</v>
      </c>
      <c r="I43" s="17">
        <v>1.3</v>
      </c>
      <c r="J43" s="18" t="str">
        <f t="shared" si="2"/>
        <v>Low</v>
      </c>
      <c r="K43" s="20">
        <v>19.04</v>
      </c>
      <c r="L43" s="20">
        <v>23.26</v>
      </c>
      <c r="M43" s="20">
        <v>29.37</v>
      </c>
      <c r="N43" s="20">
        <v>36.57</v>
      </c>
      <c r="O43" s="20">
        <v>44.31</v>
      </c>
      <c r="P43" s="16">
        <v>39600.0</v>
      </c>
      <c r="Q43" s="16">
        <v>48380.0</v>
      </c>
      <c r="R43" s="16">
        <v>61090.0</v>
      </c>
      <c r="S43" s="16">
        <v>76060.0</v>
      </c>
      <c r="T43" s="16">
        <v>92160.0</v>
      </c>
      <c r="U43" s="16">
        <f t="shared" si="3"/>
        <v>1.18</v>
      </c>
      <c r="V43" s="21">
        <f t="shared" si="4"/>
        <v>4.017705141</v>
      </c>
      <c r="W43" s="22">
        <f t="shared" si="5"/>
        <v>2.327205882</v>
      </c>
      <c r="X43" s="24" t="str">
        <f t="shared" si="6"/>
        <v>OK</v>
      </c>
    </row>
    <row r="44" ht="15.75" customHeight="1">
      <c r="A44" s="14" t="s">
        <v>132</v>
      </c>
      <c r="B44" s="15" t="s">
        <v>120</v>
      </c>
      <c r="C44" s="16">
        <v>76770.0</v>
      </c>
      <c r="D44" s="17">
        <v>3.3</v>
      </c>
      <c r="E44" s="18" t="str">
        <f t="shared" si="1"/>
        <v>Low</v>
      </c>
      <c r="F44" s="19">
        <v>5.456</v>
      </c>
      <c r="G44" s="20">
        <v>28.5</v>
      </c>
      <c r="H44" s="16">
        <v>59280.0</v>
      </c>
      <c r="I44" s="17">
        <v>0.9</v>
      </c>
      <c r="J44" s="18" t="str">
        <f t="shared" si="2"/>
        <v>Low</v>
      </c>
      <c r="K44" s="20">
        <v>18.23</v>
      </c>
      <c r="L44" s="20">
        <v>22.44</v>
      </c>
      <c r="M44" s="20">
        <v>28.16</v>
      </c>
      <c r="N44" s="20">
        <v>34.2</v>
      </c>
      <c r="O44" s="20">
        <v>38.61</v>
      </c>
      <c r="P44" s="16">
        <v>37920.0</v>
      </c>
      <c r="Q44" s="16">
        <v>46670.0</v>
      </c>
      <c r="R44" s="16">
        <v>58570.0</v>
      </c>
      <c r="S44" s="16">
        <v>71130.0</v>
      </c>
      <c r="T44" s="16">
        <v>80300.0</v>
      </c>
      <c r="U44" s="16">
        <f t="shared" si="3"/>
        <v>0.34</v>
      </c>
      <c r="V44" s="21">
        <f t="shared" si="4"/>
        <v>1.207386364</v>
      </c>
      <c r="W44" s="22">
        <f t="shared" si="5"/>
        <v>2.117937466</v>
      </c>
      <c r="X44" s="24" t="str">
        <f t="shared" si="6"/>
        <v>OK</v>
      </c>
    </row>
    <row r="45" ht="15.75" customHeight="1">
      <c r="A45" s="14" t="s">
        <v>133</v>
      </c>
      <c r="B45" s="15" t="s">
        <v>134</v>
      </c>
      <c r="C45" s="16">
        <v>11450.0</v>
      </c>
      <c r="D45" s="17">
        <v>4.4</v>
      </c>
      <c r="E45" s="18" t="str">
        <f t="shared" si="1"/>
        <v>Low</v>
      </c>
      <c r="F45" s="19">
        <v>6.599</v>
      </c>
      <c r="G45" s="20">
        <v>31.39</v>
      </c>
      <c r="H45" s="16">
        <v>65290.0</v>
      </c>
      <c r="I45" s="17">
        <v>1.3</v>
      </c>
      <c r="J45" s="18" t="str">
        <f t="shared" si="2"/>
        <v>Low</v>
      </c>
      <c r="K45" s="20">
        <v>19.2</v>
      </c>
      <c r="L45" s="20">
        <v>23.25</v>
      </c>
      <c r="M45" s="20">
        <v>29.81</v>
      </c>
      <c r="N45" s="20">
        <v>38.13</v>
      </c>
      <c r="O45" s="20">
        <v>42.84</v>
      </c>
      <c r="P45" s="16">
        <v>39940.0</v>
      </c>
      <c r="Q45" s="16">
        <v>48360.0</v>
      </c>
      <c r="R45" s="16">
        <v>62000.0</v>
      </c>
      <c r="S45" s="16">
        <v>79310.0</v>
      </c>
      <c r="T45" s="16">
        <v>89110.0</v>
      </c>
      <c r="U45" s="16">
        <f t="shared" si="3"/>
        <v>1.58</v>
      </c>
      <c r="V45" s="21">
        <f t="shared" si="4"/>
        <v>5.300234821</v>
      </c>
      <c r="W45" s="22">
        <f t="shared" si="5"/>
        <v>2.23125</v>
      </c>
      <c r="X45" s="24" t="str">
        <f t="shared" si="6"/>
        <v>OK</v>
      </c>
    </row>
    <row r="46" ht="15.75" customHeight="1">
      <c r="A46" s="14" t="s">
        <v>135</v>
      </c>
      <c r="B46" s="15" t="s">
        <v>116</v>
      </c>
      <c r="C46" s="16">
        <v>1270.0</v>
      </c>
      <c r="D46" s="17">
        <v>10.3</v>
      </c>
      <c r="E46" s="26" t="str">
        <f t="shared" si="1"/>
        <v>High</v>
      </c>
      <c r="F46" s="19">
        <v>4.172</v>
      </c>
      <c r="G46" s="20">
        <v>35.27</v>
      </c>
      <c r="H46" s="16">
        <v>73360.0</v>
      </c>
      <c r="I46" s="17">
        <v>7.4</v>
      </c>
      <c r="J46" s="26" t="str">
        <f t="shared" si="2"/>
        <v>High</v>
      </c>
      <c r="K46" s="20">
        <v>22.82</v>
      </c>
      <c r="L46" s="20">
        <v>27.54</v>
      </c>
      <c r="M46" s="20">
        <v>30.49</v>
      </c>
      <c r="N46" s="20">
        <v>38.65</v>
      </c>
      <c r="O46" s="20">
        <v>63.5</v>
      </c>
      <c r="P46" s="16">
        <v>47470.0</v>
      </c>
      <c r="Q46" s="16">
        <v>57280.0</v>
      </c>
      <c r="R46" s="16">
        <v>63430.0</v>
      </c>
      <c r="S46" s="16">
        <v>80390.0</v>
      </c>
      <c r="T46" s="16">
        <v>132080.0</v>
      </c>
      <c r="U46" s="16">
        <f t="shared" si="3"/>
        <v>4.78</v>
      </c>
      <c r="V46" s="21">
        <f t="shared" si="4"/>
        <v>15.67727124</v>
      </c>
      <c r="W46" s="22">
        <f t="shared" si="5"/>
        <v>2.782646801</v>
      </c>
      <c r="X46" s="24" t="str">
        <f t="shared" si="6"/>
        <v>⚠ Use with caution</v>
      </c>
    </row>
    <row r="47" ht="15.75" customHeight="1">
      <c r="A47" s="14" t="s">
        <v>136</v>
      </c>
      <c r="B47" s="15" t="s">
        <v>121</v>
      </c>
      <c r="C47" s="16">
        <v>23630.0</v>
      </c>
      <c r="D47" s="17">
        <v>3.3</v>
      </c>
      <c r="E47" s="18" t="str">
        <f t="shared" si="1"/>
        <v>Low</v>
      </c>
      <c r="F47" s="19">
        <v>5.751</v>
      </c>
      <c r="G47" s="20">
        <v>32.62</v>
      </c>
      <c r="H47" s="16">
        <v>67850.0</v>
      </c>
      <c r="I47" s="17">
        <v>0.8</v>
      </c>
      <c r="J47" s="18" t="str">
        <f t="shared" si="2"/>
        <v>Low</v>
      </c>
      <c r="K47" s="20">
        <v>19.61</v>
      </c>
      <c r="L47" s="20">
        <v>23.76</v>
      </c>
      <c r="M47" s="20">
        <v>30.24</v>
      </c>
      <c r="N47" s="20">
        <v>37.59</v>
      </c>
      <c r="O47" s="20">
        <v>50.83</v>
      </c>
      <c r="P47" s="16">
        <v>40780.0</v>
      </c>
      <c r="Q47" s="16">
        <v>49410.0</v>
      </c>
      <c r="R47" s="16">
        <v>62900.0</v>
      </c>
      <c r="S47" s="16">
        <v>78190.0</v>
      </c>
      <c r="T47" s="16">
        <v>105720.0</v>
      </c>
      <c r="U47" s="16">
        <f t="shared" si="3"/>
        <v>2.38</v>
      </c>
      <c r="V47" s="21">
        <f t="shared" si="4"/>
        <v>7.87037037</v>
      </c>
      <c r="W47" s="22">
        <f t="shared" si="5"/>
        <v>2.592044875</v>
      </c>
      <c r="X47" s="24" t="str">
        <f t="shared" si="6"/>
        <v>OK</v>
      </c>
    </row>
    <row r="48" ht="15.75" customHeight="1">
      <c r="A48" s="14" t="s">
        <v>137</v>
      </c>
      <c r="B48" s="15" t="s">
        <v>108</v>
      </c>
      <c r="C48" s="16">
        <v>19380.0</v>
      </c>
      <c r="D48" s="17">
        <v>2.6</v>
      </c>
      <c r="E48" s="18" t="str">
        <f t="shared" si="1"/>
        <v>Low</v>
      </c>
      <c r="F48" s="19">
        <v>5.458</v>
      </c>
      <c r="G48" s="20">
        <v>45.42</v>
      </c>
      <c r="H48" s="16">
        <v>94470.0</v>
      </c>
      <c r="I48" s="17">
        <v>1.6</v>
      </c>
      <c r="J48" s="18" t="str">
        <f t="shared" si="2"/>
        <v>Low</v>
      </c>
      <c r="K48" s="20">
        <v>25.08</v>
      </c>
      <c r="L48" s="20">
        <v>32.04</v>
      </c>
      <c r="M48" s="20">
        <v>45.78</v>
      </c>
      <c r="N48" s="20">
        <v>58.43</v>
      </c>
      <c r="O48" s="20">
        <v>64.4</v>
      </c>
      <c r="P48" s="16">
        <v>52170.0</v>
      </c>
      <c r="Q48" s="16">
        <v>66630.0</v>
      </c>
      <c r="R48" s="16">
        <v>95220.0</v>
      </c>
      <c r="S48" s="16">
        <v>121530.0</v>
      </c>
      <c r="T48" s="16">
        <v>133950.0</v>
      </c>
      <c r="U48" s="16">
        <f t="shared" si="3"/>
        <v>-0.36</v>
      </c>
      <c r="V48" s="21">
        <f t="shared" si="4"/>
        <v>-0.7863695937</v>
      </c>
      <c r="W48" s="22">
        <f t="shared" si="5"/>
        <v>2.567783094</v>
      </c>
      <c r="X48" s="24" t="str">
        <f t="shared" si="6"/>
        <v>OK</v>
      </c>
    </row>
    <row r="49" ht="15.75" customHeight="1">
      <c r="A49" s="14" t="s">
        <v>138</v>
      </c>
      <c r="B49" s="15" t="s">
        <v>139</v>
      </c>
      <c r="C49" s="16">
        <v>4290.0</v>
      </c>
      <c r="D49" s="17">
        <v>3.0</v>
      </c>
      <c r="E49" s="18" t="str">
        <f t="shared" si="1"/>
        <v>Low</v>
      </c>
      <c r="F49" s="19">
        <v>6.11</v>
      </c>
      <c r="G49" s="20">
        <v>32.61</v>
      </c>
      <c r="H49" s="16">
        <v>67840.0</v>
      </c>
      <c r="I49" s="17">
        <v>1.3</v>
      </c>
      <c r="J49" s="18" t="str">
        <f t="shared" si="2"/>
        <v>Low</v>
      </c>
      <c r="K49" s="20">
        <v>20.97</v>
      </c>
      <c r="L49" s="20">
        <v>23.37</v>
      </c>
      <c r="M49" s="20">
        <v>31.16</v>
      </c>
      <c r="N49" s="20">
        <v>40.35</v>
      </c>
      <c r="O49" s="20">
        <v>45.74</v>
      </c>
      <c r="P49" s="16">
        <v>43620.0</v>
      </c>
      <c r="Q49" s="16">
        <v>48610.0</v>
      </c>
      <c r="R49" s="16">
        <v>64810.0</v>
      </c>
      <c r="S49" s="16">
        <v>83920.0</v>
      </c>
      <c r="T49" s="16">
        <v>95140.0</v>
      </c>
      <c r="U49" s="16">
        <f t="shared" si="3"/>
        <v>1.45</v>
      </c>
      <c r="V49" s="21">
        <f t="shared" si="4"/>
        <v>4.653401797</v>
      </c>
      <c r="W49" s="22">
        <f t="shared" si="5"/>
        <v>2.181211254</v>
      </c>
      <c r="X49" s="24" t="str">
        <f t="shared" si="6"/>
        <v>OK</v>
      </c>
    </row>
    <row r="50" ht="15.75" customHeight="1">
      <c r="A50" s="14" t="s">
        <v>140</v>
      </c>
      <c r="B50" s="15" t="s">
        <v>141</v>
      </c>
      <c r="C50" s="16">
        <v>14310.0</v>
      </c>
      <c r="D50" s="17">
        <v>4.1</v>
      </c>
      <c r="E50" s="18" t="str">
        <f t="shared" si="1"/>
        <v>Low</v>
      </c>
      <c r="F50" s="19">
        <v>4.866</v>
      </c>
      <c r="G50" s="20">
        <v>35.49</v>
      </c>
      <c r="H50" s="16">
        <v>73810.0</v>
      </c>
      <c r="I50" s="17">
        <v>1.0</v>
      </c>
      <c r="J50" s="18" t="str">
        <f t="shared" si="2"/>
        <v>Low</v>
      </c>
      <c r="K50" s="20">
        <v>21.55</v>
      </c>
      <c r="L50" s="20">
        <v>26.84</v>
      </c>
      <c r="M50" s="20">
        <v>36.8</v>
      </c>
      <c r="N50" s="20">
        <v>45.09</v>
      </c>
      <c r="O50" s="20">
        <v>48.93</v>
      </c>
      <c r="P50" s="16">
        <v>44830.0</v>
      </c>
      <c r="Q50" s="16">
        <v>55820.0</v>
      </c>
      <c r="R50" s="16">
        <v>76540.0</v>
      </c>
      <c r="S50" s="16">
        <v>93780.0</v>
      </c>
      <c r="T50" s="16">
        <v>101770.0</v>
      </c>
      <c r="U50" s="16">
        <f t="shared" si="3"/>
        <v>-1.31</v>
      </c>
      <c r="V50" s="21">
        <f t="shared" si="4"/>
        <v>-3.559782609</v>
      </c>
      <c r="W50" s="22">
        <f t="shared" si="5"/>
        <v>2.270533643</v>
      </c>
      <c r="X50" s="24" t="str">
        <f t="shared" si="6"/>
        <v>OK</v>
      </c>
    </row>
    <row r="51" ht="15.75" customHeight="1">
      <c r="A51" s="14" t="s">
        <v>142</v>
      </c>
      <c r="B51" s="15" t="s">
        <v>105</v>
      </c>
      <c r="C51" s="16">
        <v>2960.0</v>
      </c>
      <c r="D51" s="17">
        <v>4.8</v>
      </c>
      <c r="E51" s="18" t="str">
        <f t="shared" si="1"/>
        <v>Low</v>
      </c>
      <c r="F51" s="19">
        <v>10.537</v>
      </c>
      <c r="G51" s="20">
        <v>35.99</v>
      </c>
      <c r="H51" s="16">
        <v>74860.0</v>
      </c>
      <c r="I51" s="17">
        <v>1.6</v>
      </c>
      <c r="J51" s="18" t="str">
        <f t="shared" si="2"/>
        <v>Low</v>
      </c>
      <c r="K51" s="20">
        <v>23.19</v>
      </c>
      <c r="L51" s="20">
        <v>28.69</v>
      </c>
      <c r="M51" s="20">
        <v>36.59</v>
      </c>
      <c r="N51" s="20">
        <v>41.33</v>
      </c>
      <c r="O51" s="20">
        <v>50.0</v>
      </c>
      <c r="P51" s="16">
        <v>48240.0</v>
      </c>
      <c r="Q51" s="16">
        <v>59670.0</v>
      </c>
      <c r="R51" s="16">
        <v>76120.0</v>
      </c>
      <c r="S51" s="16">
        <v>85960.0</v>
      </c>
      <c r="T51" s="16">
        <v>104000.0</v>
      </c>
      <c r="U51" s="16">
        <f t="shared" si="3"/>
        <v>-0.6</v>
      </c>
      <c r="V51" s="21">
        <f t="shared" si="4"/>
        <v>-1.639792293</v>
      </c>
      <c r="W51" s="22">
        <f t="shared" si="5"/>
        <v>2.156101768</v>
      </c>
      <c r="X51" s="24" t="str">
        <f t="shared" si="6"/>
        <v>OK</v>
      </c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X52" s="24"/>
    </row>
    <row r="53" ht="15.75" customHeight="1">
      <c r="A53" s="15"/>
      <c r="B53" s="15"/>
      <c r="C53" s="37">
        <f t="shared" ref="C53:D53" si="7">MAX(C2:C51)</f>
        <v>76770</v>
      </c>
      <c r="D53" s="38">
        <f t="shared" si="7"/>
        <v>12.7</v>
      </c>
      <c r="F53" s="15"/>
      <c r="G53" s="15"/>
      <c r="H53" s="15"/>
      <c r="I53" s="38">
        <f>MAX(I2:I51)</f>
        <v>7.4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X53" s="24"/>
    </row>
    <row r="54" ht="15.75" customHeight="1">
      <c r="A54" s="15"/>
      <c r="B54" s="15"/>
      <c r="C54" s="37">
        <f t="shared" ref="C54:D54" si="8">MIN(C2:C51)</f>
        <v>1270</v>
      </c>
      <c r="D54" s="38">
        <f t="shared" si="8"/>
        <v>2.2</v>
      </c>
      <c r="F54" s="15"/>
      <c r="G54" s="15"/>
      <c r="H54" s="15"/>
      <c r="I54" s="38">
        <f>MIN(I2:I51)</f>
        <v>0.8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X54" s="24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X55" s="24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X56" s="24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X57" s="24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X58" s="24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X59" s="24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X60" s="24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X61" s="24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X62" s="24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X63" s="24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X64" s="24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X65" s="24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X66" s="24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X67" s="24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X68" s="24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X69" s="24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X70" s="24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X71" s="24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X72" s="24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X73" s="24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X74" s="24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X75" s="24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X76" s="24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X77" s="24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X78" s="24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X79" s="24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X80" s="24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X81" s="24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X82" s="24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X83" s="24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X84" s="24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X85" s="24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X86" s="24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X87" s="24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X88" s="24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X89" s="24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X90" s="24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X91" s="24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X92" s="24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X93" s="24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X94" s="24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X95" s="24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X96" s="24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X97" s="24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X98" s="24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X99" s="24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X100" s="24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X101" s="24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X102" s="24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X103" s="24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X104" s="24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X105" s="24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X106" s="24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X107" s="24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X108" s="24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X109" s="24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X110" s="24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X111" s="24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X112" s="24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X113" s="24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X114" s="24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X115" s="24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X116" s="24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X117" s="24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X118" s="24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X119" s="24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X120" s="24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X121" s="24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X122" s="24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X123" s="24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X124" s="24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X125" s="24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X126" s="24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X127" s="24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X128" s="24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X129" s="24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X130" s="24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X131" s="24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X132" s="24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X133" s="24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X134" s="24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X135" s="24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X136" s="24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X137" s="24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X138" s="24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X139" s="24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X140" s="24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X141" s="24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X142" s="24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X143" s="24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X144" s="24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X145" s="24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X146" s="24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X147" s="24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X148" s="24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X149" s="24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X150" s="24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X151" s="24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X152" s="24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X153" s="24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X154" s="24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X155" s="24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X156" s="24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X157" s="24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X158" s="24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X159" s="24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X160" s="24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X161" s="24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X162" s="24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X163" s="24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X164" s="24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X165" s="24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X166" s="24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X167" s="24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X168" s="24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X169" s="24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X170" s="24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X171" s="24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X172" s="24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X173" s="24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X174" s="24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X175" s="24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X176" s="24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X177" s="24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X178" s="24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X179" s="24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X180" s="24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X181" s="24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X182" s="24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X183" s="24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X184" s="24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X185" s="24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X186" s="24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X187" s="24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X188" s="24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X189" s="24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X190" s="24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X191" s="24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X192" s="24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X193" s="24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X194" s="24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X195" s="24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X196" s="24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X197" s="24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X198" s="24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X199" s="24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X200" s="24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X201" s="24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X202" s="24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X203" s="24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X204" s="24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X205" s="24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X206" s="24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X207" s="24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X208" s="24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X209" s="24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X210" s="24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X211" s="24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X212" s="24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X213" s="24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X214" s="24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X215" s="24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X216" s="24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X217" s="24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X218" s="24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X219" s="24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X220" s="24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X221" s="24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X222" s="24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X223" s="24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X224" s="24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X225" s="24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X226" s="24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X227" s="24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X228" s="24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X229" s="24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X230" s="24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X231" s="24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X232" s="24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X233" s="24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X234" s="24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X235" s="24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X236" s="24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X237" s="24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X238" s="24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X239" s="24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X240" s="24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X241" s="24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X242" s="24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X243" s="24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X244" s="24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X245" s="24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X246" s="24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X247" s="24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X248" s="24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X249" s="24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X250" s="24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X251" s="24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X252" s="24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X253" s="24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X254" s="24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X255" s="24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X256" s="24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X257" s="24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X258" s="24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X259" s="24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X260" s="24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X261" s="24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X262" s="24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X263" s="24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X264" s="24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X265" s="24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X266" s="24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X267" s="24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X268" s="24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X269" s="24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X270" s="24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X271" s="24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X272" s="24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X273" s="24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X274" s="24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X275" s="24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X276" s="24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X277" s="24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X278" s="24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X279" s="24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X280" s="24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X281" s="24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X282" s="24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X283" s="24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X284" s="24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X285" s="24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X286" s="24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X287" s="24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X288" s="24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X289" s="24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X290" s="24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X291" s="24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X292" s="24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X293" s="24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X294" s="24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X295" s="24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X296" s="24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X297" s="24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X298" s="24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X299" s="24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X300" s="24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X301" s="24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X302" s="24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X303" s="24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X304" s="24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X305" s="24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X306" s="24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X307" s="24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X308" s="24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X309" s="24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X310" s="24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X311" s="24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X312" s="24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X313" s="24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X314" s="24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X315" s="24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X316" s="24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X317" s="24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X318" s="24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X319" s="24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X320" s="24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X321" s="24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X322" s="24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X323" s="24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X324" s="24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X325" s="24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X326" s="24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X327" s="24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X328" s="24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X329" s="24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X330" s="24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X331" s="24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X332" s="24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X333" s="24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X334" s="24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X335" s="24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X336" s="24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X337" s="24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X338" s="24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X339" s="24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X340" s="24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X341" s="24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X342" s="24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X343" s="24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X344" s="24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X345" s="24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X346" s="24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X347" s="24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X348" s="24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X349" s="24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X350" s="24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X351" s="24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X352" s="24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X353" s="24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X354" s="24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X355" s="24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X356" s="24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X357" s="24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X358" s="24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X359" s="24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X360" s="24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X361" s="24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X362" s="24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X363" s="24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X364" s="24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X365" s="24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X366" s="24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X367" s="24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X368" s="24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X369" s="24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X370" s="24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X371" s="24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X372" s="24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X373" s="24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X374" s="24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X375" s="24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X376" s="24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X377" s="24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X378" s="24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X379" s="24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X380" s="24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X381" s="24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X382" s="24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X383" s="24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X384" s="24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X385" s="24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X386" s="24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X387" s="24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X388" s="24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X389" s="24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X390" s="24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X391" s="24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X392" s="24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X393" s="24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X394" s="24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X395" s="24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X396" s="24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X397" s="24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X398" s="24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X399" s="24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X400" s="24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X401" s="24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X402" s="24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X403" s="24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X404" s="24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X405" s="24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X406" s="24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X407" s="24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X408" s="24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X409" s="24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X410" s="24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X411" s="24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X412" s="24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X413" s="24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X414" s="24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X415" s="24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X416" s="24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X417" s="24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X418" s="24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X419" s="24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X420" s="24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X421" s="24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X422" s="24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X423" s="24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X424" s="24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X425" s="24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X426" s="24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X427" s="24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X428" s="24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X429" s="24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X430" s="24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X431" s="24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X432" s="24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X433" s="24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X434" s="24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X435" s="24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X436" s="24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X437" s="24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X438" s="24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X439" s="24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X440" s="24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X441" s="24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X442" s="24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X443" s="24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X444" s="24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X445" s="24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X446" s="24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X447" s="24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X448" s="24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X449" s="24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X450" s="24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X451" s="24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X452" s="24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X453" s="24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X454" s="24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X455" s="24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X456" s="24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X457" s="24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X458" s="24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X459" s="24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X460" s="24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X461" s="24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X462" s="24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X463" s="24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X464" s="24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X465" s="24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X466" s="24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X467" s="24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X468" s="24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X469" s="24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X470" s="24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X471" s="24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X472" s="24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X473" s="24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X474" s="24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X475" s="24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X476" s="24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X477" s="24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X478" s="24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X479" s="24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X480" s="24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X481" s="24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X482" s="24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X483" s="24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X484" s="24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X485" s="24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X486" s="24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X487" s="24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X488" s="24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X489" s="24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X490" s="24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X491" s="24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X492" s="24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X493" s="24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X494" s="24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X495" s="24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X496" s="24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X497" s="24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X498" s="24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X499" s="24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X500" s="24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X501" s="24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X502" s="24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X503" s="24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X504" s="24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X505" s="24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X506" s="24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X507" s="24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X508" s="24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X509" s="24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X510" s="24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X511" s="24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X512" s="24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X513" s="24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X514" s="24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X515" s="24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X516" s="24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X517" s="24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X518" s="24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X519" s="24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X520" s="24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X521" s="24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X522" s="24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X523" s="24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X524" s="24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X525" s="24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X526" s="24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X527" s="24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X528" s="24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X529" s="24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X530" s="24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X531" s="24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X532" s="24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X533" s="24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X534" s="24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X535" s="24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X536" s="24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X537" s="24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X538" s="24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X539" s="24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X540" s="24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X541" s="24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X542" s="24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X543" s="24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X544" s="24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X545" s="24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X546" s="24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X547" s="24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X548" s="24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X549" s="24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X550" s="24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X551" s="24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X552" s="24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X553" s="24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X554" s="24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X555" s="24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X556" s="24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X557" s="24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X558" s="24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X559" s="24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X560" s="24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X561" s="24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X562" s="24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X563" s="24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X564" s="24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X565" s="24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X566" s="24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X567" s="24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X568" s="24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X569" s="24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X570" s="24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X571" s="24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X572" s="24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X573" s="24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X574" s="24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X575" s="24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X576" s="24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X577" s="24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X578" s="24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X579" s="24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X580" s="24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X581" s="24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X582" s="24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X583" s="24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X584" s="24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X585" s="24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X586" s="24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X587" s="24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X588" s="24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X589" s="24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X590" s="24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X591" s="24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X592" s="24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X593" s="24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X594" s="24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X595" s="24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X596" s="24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X597" s="24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X598" s="24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X599" s="24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X600" s="24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X601" s="24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X602" s="24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X603" s="24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X604" s="24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X605" s="24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X606" s="24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X607" s="24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X608" s="24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X609" s="24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X610" s="24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X611" s="24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X612" s="24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X613" s="24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X614" s="24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X615" s="24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X616" s="24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X617" s="24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X618" s="24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X619" s="24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X620" s="24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X621" s="24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X622" s="24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X623" s="24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X624" s="24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X625" s="24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X626" s="24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X627" s="24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X628" s="24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X629" s="24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X630" s="24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X631" s="24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X632" s="24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X633" s="24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X634" s="24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X635" s="24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X636" s="24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X637" s="24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X638" s="24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X639" s="24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X640" s="24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X641" s="24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X642" s="24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X643" s="24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X644" s="24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X645" s="24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X646" s="24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X647" s="24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X648" s="24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X649" s="24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X650" s="24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X651" s="24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X652" s="24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X653" s="24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X654" s="24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X655" s="24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X656" s="24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X657" s="24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X658" s="24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X659" s="24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X660" s="24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X661" s="24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X662" s="24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X663" s="24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X664" s="24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X665" s="24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X666" s="24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X667" s="24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X668" s="24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X669" s="24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X670" s="24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X671" s="24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X672" s="24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X673" s="24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X674" s="24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X675" s="24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X676" s="24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X677" s="24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X678" s="24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X679" s="24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X680" s="24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X681" s="24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X682" s="24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X683" s="24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X684" s="24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X685" s="24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X686" s="24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X687" s="24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X688" s="24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X689" s="24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X690" s="24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X691" s="24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X692" s="24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X693" s="24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X694" s="24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X695" s="24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X696" s="24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X697" s="24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X698" s="24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X699" s="24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X700" s="24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X701" s="24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X702" s="24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X703" s="24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X704" s="24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X705" s="24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X706" s="24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X707" s="24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X708" s="24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X709" s="24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X710" s="24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X711" s="24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X712" s="24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X713" s="24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X714" s="24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X715" s="24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X716" s="24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X717" s="24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X718" s="24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X719" s="24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X720" s="24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X721" s="24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X722" s="24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X723" s="24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X724" s="24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X725" s="24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X726" s="24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X727" s="24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X728" s="24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X729" s="24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X730" s="24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X731" s="24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X732" s="24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X733" s="24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X734" s="24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X735" s="24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X736" s="24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X737" s="24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X738" s="24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X739" s="24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X740" s="24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X741" s="24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X742" s="24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X743" s="24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X744" s="24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X745" s="24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X746" s="24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X747" s="24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X748" s="24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X749" s="24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X750" s="24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X751" s="24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X752" s="24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X753" s="24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X754" s="24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X755" s="24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X756" s="24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X757" s="24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X758" s="24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X759" s="24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X760" s="24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X761" s="24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X762" s="24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X763" s="24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X764" s="24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X765" s="24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X766" s="24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X767" s="24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X768" s="24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X769" s="24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X770" s="24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X771" s="24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X772" s="24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X773" s="24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X774" s="24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X775" s="24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X776" s="24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X777" s="24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X778" s="24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X779" s="24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X780" s="24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X781" s="24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X782" s="24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X783" s="24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X784" s="24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X785" s="24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X786" s="24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X787" s="24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X788" s="24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X789" s="24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X790" s="24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X791" s="24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X792" s="24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X793" s="24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X794" s="24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X795" s="24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X796" s="24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X797" s="24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X798" s="24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X799" s="24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X800" s="24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X801" s="24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X802" s="24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X803" s="24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X804" s="24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X805" s="24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X806" s="24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X807" s="24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X808" s="24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X809" s="24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X810" s="24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X811" s="24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X812" s="24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X813" s="24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X814" s="24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X815" s="24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X816" s="24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X817" s="24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X818" s="24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X819" s="24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X820" s="24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X821" s="24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X822" s="24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X823" s="24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X824" s="24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X825" s="24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X826" s="24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X827" s="24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X828" s="24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X829" s="24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X830" s="24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X831" s="24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X832" s="24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X833" s="24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X834" s="24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X835" s="24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X836" s="24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X837" s="24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X838" s="24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X839" s="24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X840" s="24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X841" s="24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X842" s="24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X843" s="24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X844" s="24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X845" s="24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X846" s="24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X847" s="24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X848" s="24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X849" s="24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X850" s="24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X851" s="24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X852" s="24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X853" s="24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X854" s="24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X855" s="24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X856" s="24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X857" s="24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X858" s="24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X859" s="24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X860" s="24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X861" s="24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X862" s="24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X863" s="24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X864" s="24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X865" s="24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X866" s="24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X867" s="24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X868" s="24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X869" s="24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X870" s="24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X871" s="24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X872" s="24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X873" s="24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X874" s="24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X875" s="24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X876" s="24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X877" s="24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X878" s="24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X879" s="24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X880" s="24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X881" s="24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X882" s="24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X883" s="24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X884" s="24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X885" s="24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X886" s="24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X887" s="24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X888" s="24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X889" s="24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X890" s="24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X891" s="24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X892" s="24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X893" s="24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X894" s="24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X895" s="24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X896" s="24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X897" s="24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X898" s="24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X899" s="24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X900" s="24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X901" s="24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X902" s="24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X903" s="24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X904" s="24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X905" s="24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X906" s="24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X907" s="24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X908" s="24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X909" s="24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X910" s="24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X911" s="24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X912" s="24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X913" s="24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X914" s="24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X915" s="24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X916" s="24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X917" s="24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X918" s="24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X919" s="24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X920" s="24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X921" s="24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X922" s="24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X923" s="24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X924" s="24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X925" s="24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X926" s="24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X927" s="24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X928" s="24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X929" s="24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X930" s="24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X931" s="24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X932" s="24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X933" s="24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X934" s="24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X935" s="24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X936" s="24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X937" s="24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X938" s="24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X939" s="24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X940" s="24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X941" s="24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X942" s="24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X943" s="24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X944" s="24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X945" s="24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X946" s="24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X947" s="24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X948" s="24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X949" s="24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X950" s="24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X951" s="24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X952" s="24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X953" s="24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X954" s="24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X955" s="24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X956" s="24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X957" s="24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X958" s="24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X959" s="24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X960" s="24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X961" s="24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X962" s="24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X963" s="24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X964" s="24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X965" s="24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X966" s="24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X967" s="24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X968" s="24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X969" s="24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X970" s="24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X971" s="24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X972" s="24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X973" s="24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X974" s="24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X975" s="24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X976" s="24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X977" s="24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X978" s="24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X979" s="24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X980" s="24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X981" s="24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X982" s="24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X983" s="24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X984" s="24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X985" s="24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X986" s="24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X987" s="24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X988" s="24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X989" s="24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X990" s="24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X991" s="24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X992" s="24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X993" s="24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X994" s="24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X995" s="24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X996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4" width="20.25"/>
    <col customWidth="1" min="5" max="5" width="26.38"/>
    <col customWidth="1" min="6" max="6" width="33.75"/>
    <col customWidth="1" min="7" max="7" width="24.75"/>
  </cols>
  <sheetData>
    <row r="1" ht="15.0" customHeight="1">
      <c r="A1" s="27"/>
      <c r="B1" s="28">
        <v>2023.0</v>
      </c>
      <c r="C1" s="1">
        <v>2024.0</v>
      </c>
      <c r="D1" s="1">
        <v>2025.0</v>
      </c>
      <c r="E1" s="29"/>
      <c r="F1" s="30"/>
    </row>
    <row r="2" ht="15.0" customHeight="1">
      <c r="A2" s="28" t="s">
        <v>18</v>
      </c>
      <c r="B2" s="31" t="s">
        <v>29</v>
      </c>
      <c r="C2" s="31" t="s">
        <v>29</v>
      </c>
      <c r="D2" s="31" t="s">
        <v>29</v>
      </c>
      <c r="E2" s="32" t="s">
        <v>97</v>
      </c>
      <c r="F2" s="33" t="s">
        <v>98</v>
      </c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15" t="s">
        <v>64</v>
      </c>
      <c r="B3" s="34">
        <v>23.71</v>
      </c>
      <c r="C3" s="34">
        <v>29.17</v>
      </c>
      <c r="D3" s="34">
        <v>30.29</v>
      </c>
      <c r="E3" s="35">
        <f t="shared" ref="E3:E52" si="1">((D3-B3)/B3)*100</f>
        <v>27.75200337</v>
      </c>
      <c r="F3" s="36">
        <f t="shared" ref="F3:F52" si="2">(D3/B3)^(1/2) - 1</f>
        <v>0.1302743179</v>
      </c>
    </row>
    <row r="4">
      <c r="A4" s="15" t="s">
        <v>96</v>
      </c>
      <c r="B4" s="34">
        <v>29.07</v>
      </c>
      <c r="C4" s="34">
        <v>31.22</v>
      </c>
      <c r="D4" s="34">
        <v>35.37</v>
      </c>
      <c r="E4" s="35">
        <f t="shared" si="1"/>
        <v>21.67182663</v>
      </c>
      <c r="F4" s="36">
        <f t="shared" si="2"/>
        <v>0.1030495303</v>
      </c>
    </row>
    <row r="5">
      <c r="A5" s="15" t="s">
        <v>78</v>
      </c>
      <c r="B5" s="34">
        <v>29.79</v>
      </c>
      <c r="C5" s="34">
        <v>32.61</v>
      </c>
      <c r="D5" s="34">
        <v>36.24</v>
      </c>
      <c r="E5" s="35">
        <f t="shared" si="1"/>
        <v>21.65156093</v>
      </c>
      <c r="F5" s="36">
        <f t="shared" si="2"/>
        <v>0.1029576643</v>
      </c>
    </row>
    <row r="6">
      <c r="A6" s="15" t="s">
        <v>84</v>
      </c>
      <c r="B6" s="34">
        <v>30.28</v>
      </c>
      <c r="C6" s="34">
        <v>34.94</v>
      </c>
      <c r="D6" s="34">
        <v>36.67</v>
      </c>
      <c r="E6" s="35">
        <f t="shared" si="1"/>
        <v>21.10303831</v>
      </c>
      <c r="F6" s="36">
        <f t="shared" si="2"/>
        <v>0.1004682563</v>
      </c>
    </row>
    <row r="7">
      <c r="A7" s="15" t="s">
        <v>92</v>
      </c>
      <c r="B7" s="34">
        <v>31.05</v>
      </c>
      <c r="C7" s="34">
        <v>33.16</v>
      </c>
      <c r="D7" s="34">
        <v>36.9</v>
      </c>
      <c r="E7" s="35">
        <f t="shared" si="1"/>
        <v>18.84057971</v>
      </c>
      <c r="F7" s="36">
        <f t="shared" si="2"/>
        <v>0.09014026487</v>
      </c>
    </row>
    <row r="8">
      <c r="A8" s="15" t="s">
        <v>105</v>
      </c>
      <c r="B8" s="34">
        <v>30.98</v>
      </c>
      <c r="C8" s="34">
        <v>35.31</v>
      </c>
      <c r="D8" s="34">
        <v>36.59</v>
      </c>
      <c r="E8" s="35">
        <f t="shared" si="1"/>
        <v>18.10845707</v>
      </c>
      <c r="F8" s="36">
        <f t="shared" si="2"/>
        <v>0.08677714859</v>
      </c>
    </row>
    <row r="9">
      <c r="A9" s="15" t="s">
        <v>80</v>
      </c>
      <c r="B9" s="34">
        <v>30.3</v>
      </c>
      <c r="C9" s="34">
        <v>31.56</v>
      </c>
      <c r="D9" s="34">
        <v>35.33</v>
      </c>
      <c r="E9" s="35">
        <f t="shared" si="1"/>
        <v>16.60066007</v>
      </c>
      <c r="F9" s="36">
        <f t="shared" si="2"/>
        <v>0.07981785532</v>
      </c>
    </row>
    <row r="10">
      <c r="A10" s="15" t="s">
        <v>108</v>
      </c>
      <c r="B10" s="34">
        <v>39.44</v>
      </c>
      <c r="C10" s="34">
        <v>46.41</v>
      </c>
      <c r="D10" s="34">
        <v>45.78</v>
      </c>
      <c r="E10" s="35">
        <f t="shared" si="1"/>
        <v>16.07505071</v>
      </c>
      <c r="F10" s="36">
        <f t="shared" si="2"/>
        <v>0.07738131926</v>
      </c>
    </row>
    <row r="11">
      <c r="A11" s="15" t="s">
        <v>58</v>
      </c>
      <c r="B11" s="34">
        <v>24.1</v>
      </c>
      <c r="C11" s="34">
        <v>25.53</v>
      </c>
      <c r="D11" s="34">
        <v>27.52</v>
      </c>
      <c r="E11" s="35">
        <f t="shared" si="1"/>
        <v>14.19087137</v>
      </c>
      <c r="F11" s="36">
        <f t="shared" si="2"/>
        <v>0.06860128846</v>
      </c>
    </row>
    <row r="12">
      <c r="A12" s="15" t="s">
        <v>109</v>
      </c>
      <c r="B12" s="34">
        <v>42.68</v>
      </c>
      <c r="C12" s="34">
        <v>46.79</v>
      </c>
      <c r="D12" s="34">
        <v>48.71</v>
      </c>
      <c r="E12" s="35">
        <f t="shared" si="1"/>
        <v>14.12839738</v>
      </c>
      <c r="F12" s="36">
        <f t="shared" si="2"/>
        <v>0.0683089318</v>
      </c>
    </row>
    <row r="13">
      <c r="A13" s="15" t="s">
        <v>102</v>
      </c>
      <c r="B13" s="34">
        <v>32.81</v>
      </c>
      <c r="C13" s="34">
        <v>35.14</v>
      </c>
      <c r="D13" s="34">
        <v>37.14</v>
      </c>
      <c r="E13" s="35">
        <f t="shared" si="1"/>
        <v>13.19719598</v>
      </c>
      <c r="F13" s="36">
        <f t="shared" si="2"/>
        <v>0.06394170882</v>
      </c>
    </row>
    <row r="14">
      <c r="A14" s="15" t="s">
        <v>112</v>
      </c>
      <c r="B14" s="34">
        <v>24.98</v>
      </c>
      <c r="C14" s="34">
        <v>28.01</v>
      </c>
      <c r="D14" s="34">
        <v>28.24</v>
      </c>
      <c r="E14" s="35">
        <f t="shared" si="1"/>
        <v>13.05044035</v>
      </c>
      <c r="F14" s="36">
        <f t="shared" si="2"/>
        <v>0.06325180626</v>
      </c>
    </row>
    <row r="15">
      <c r="A15" s="15" t="s">
        <v>114</v>
      </c>
      <c r="B15" s="34">
        <v>31.85</v>
      </c>
      <c r="C15" s="34">
        <v>33.73</v>
      </c>
      <c r="D15" s="34">
        <v>35.62</v>
      </c>
      <c r="E15" s="35">
        <f t="shared" si="1"/>
        <v>11.83673469</v>
      </c>
      <c r="F15" s="36">
        <f t="shared" si="2"/>
        <v>0.05752888705</v>
      </c>
    </row>
    <row r="16">
      <c r="A16" s="15" t="s">
        <v>116</v>
      </c>
      <c r="B16" s="34">
        <v>27.32</v>
      </c>
      <c r="C16" s="34">
        <v>28.69</v>
      </c>
      <c r="D16" s="34">
        <v>30.49</v>
      </c>
      <c r="E16" s="35">
        <f t="shared" si="1"/>
        <v>11.60322108</v>
      </c>
      <c r="F16" s="36">
        <f t="shared" si="2"/>
        <v>0.05642425703</v>
      </c>
    </row>
    <row r="17">
      <c r="A17" s="15" t="s">
        <v>111</v>
      </c>
      <c r="B17" s="34">
        <v>24.49</v>
      </c>
      <c r="C17" s="34">
        <v>26.0</v>
      </c>
      <c r="D17" s="34">
        <v>27.31</v>
      </c>
      <c r="E17" s="35">
        <f t="shared" si="1"/>
        <v>11.51490404</v>
      </c>
      <c r="F17" s="36">
        <f t="shared" si="2"/>
        <v>0.05600617443</v>
      </c>
    </row>
    <row r="18">
      <c r="A18" s="15" t="s">
        <v>117</v>
      </c>
      <c r="B18" s="34">
        <v>26.62</v>
      </c>
      <c r="C18" s="34">
        <v>28.46</v>
      </c>
      <c r="D18" s="34">
        <v>29.37</v>
      </c>
      <c r="E18" s="35">
        <f t="shared" si="1"/>
        <v>10.33057851</v>
      </c>
      <c r="F18" s="36">
        <f t="shared" si="2"/>
        <v>0.05038363712</v>
      </c>
    </row>
    <row r="19">
      <c r="A19" s="15" t="s">
        <v>72</v>
      </c>
      <c r="B19" s="34">
        <v>28.79</v>
      </c>
      <c r="C19" s="34">
        <v>29.73</v>
      </c>
      <c r="D19" s="34">
        <v>31.66</v>
      </c>
      <c r="E19" s="35">
        <f t="shared" si="1"/>
        <v>9.968739146</v>
      </c>
      <c r="F19" s="36">
        <f t="shared" si="2"/>
        <v>0.0486598073</v>
      </c>
    </row>
    <row r="20">
      <c r="A20" s="15" t="s">
        <v>44</v>
      </c>
      <c r="B20" s="34">
        <v>39.5</v>
      </c>
      <c r="C20" s="34">
        <v>39.36</v>
      </c>
      <c r="D20" s="34">
        <v>43.0</v>
      </c>
      <c r="E20" s="35">
        <f t="shared" si="1"/>
        <v>8.860759494</v>
      </c>
      <c r="F20" s="36">
        <f t="shared" si="2"/>
        <v>0.04336359671</v>
      </c>
    </row>
    <row r="21">
      <c r="A21" s="15" t="s">
        <v>54</v>
      </c>
      <c r="B21" s="34">
        <v>34.38</v>
      </c>
      <c r="C21" s="34">
        <v>36.92</v>
      </c>
      <c r="D21" s="34">
        <v>37.28</v>
      </c>
      <c r="E21" s="35">
        <f t="shared" si="1"/>
        <v>8.435136707</v>
      </c>
      <c r="F21" s="36">
        <f t="shared" si="2"/>
        <v>0.04132193248</v>
      </c>
    </row>
    <row r="22">
      <c r="A22" s="15" t="s">
        <v>42</v>
      </c>
      <c r="B22" s="34">
        <v>24.76</v>
      </c>
      <c r="C22" s="34">
        <v>25.2</v>
      </c>
      <c r="D22" s="34">
        <v>26.78</v>
      </c>
      <c r="E22" s="35">
        <f t="shared" si="1"/>
        <v>8.158319871</v>
      </c>
      <c r="F22" s="36">
        <f t="shared" si="2"/>
        <v>0.03999192242</v>
      </c>
    </row>
    <row r="23">
      <c r="A23" s="15" t="s">
        <v>118</v>
      </c>
      <c r="B23" s="34">
        <v>27.76</v>
      </c>
      <c r="C23" s="34">
        <v>28.15</v>
      </c>
      <c r="D23" s="34">
        <v>29.51</v>
      </c>
      <c r="E23" s="35">
        <f t="shared" si="1"/>
        <v>6.304034582</v>
      </c>
      <c r="F23" s="36">
        <f t="shared" si="2"/>
        <v>0.03103847931</v>
      </c>
    </row>
    <row r="24">
      <c r="A24" s="15" t="s">
        <v>119</v>
      </c>
      <c r="B24" s="34">
        <v>27.76</v>
      </c>
      <c r="C24" s="34">
        <v>28.87</v>
      </c>
      <c r="D24" s="34">
        <v>29.33</v>
      </c>
      <c r="E24" s="35">
        <f t="shared" si="1"/>
        <v>5.655619597</v>
      </c>
      <c r="F24" s="36">
        <f t="shared" si="2"/>
        <v>0.0278891944</v>
      </c>
    </row>
    <row r="25">
      <c r="A25" s="15" t="s">
        <v>60</v>
      </c>
      <c r="B25" s="34">
        <v>26.59</v>
      </c>
      <c r="C25" s="34">
        <v>28.3</v>
      </c>
      <c r="D25" s="34">
        <v>28.04</v>
      </c>
      <c r="E25" s="35">
        <f t="shared" si="1"/>
        <v>5.453177886</v>
      </c>
      <c r="F25" s="36">
        <f t="shared" si="2"/>
        <v>0.02690397743</v>
      </c>
    </row>
    <row r="26">
      <c r="A26" s="15" t="s">
        <v>120</v>
      </c>
      <c r="B26" s="34">
        <v>26.87</v>
      </c>
      <c r="C26" s="34">
        <v>27.36</v>
      </c>
      <c r="D26" s="34">
        <v>28.16</v>
      </c>
      <c r="E26" s="35">
        <f t="shared" si="1"/>
        <v>4.800893189</v>
      </c>
      <c r="F26" s="36">
        <f t="shared" si="2"/>
        <v>0.02372307383</v>
      </c>
    </row>
    <row r="27">
      <c r="A27" s="15" t="s">
        <v>66</v>
      </c>
      <c r="B27" s="34">
        <v>45.72</v>
      </c>
      <c r="C27" s="34">
        <v>46.33</v>
      </c>
      <c r="D27" s="34">
        <v>47.87</v>
      </c>
      <c r="E27" s="35">
        <f t="shared" si="1"/>
        <v>4.702537183</v>
      </c>
      <c r="F27" s="36">
        <f t="shared" si="2"/>
        <v>0.02324257722</v>
      </c>
    </row>
    <row r="28">
      <c r="A28" s="15" t="s">
        <v>74</v>
      </c>
      <c r="B28" s="34">
        <v>27.47</v>
      </c>
      <c r="C28" s="34">
        <v>28.6</v>
      </c>
      <c r="D28" s="34">
        <v>28.71</v>
      </c>
      <c r="E28" s="35">
        <f t="shared" si="1"/>
        <v>4.514015289</v>
      </c>
      <c r="F28" s="36">
        <f t="shared" si="2"/>
        <v>0.02232096374</v>
      </c>
    </row>
    <row r="29">
      <c r="A29" s="15" t="s">
        <v>56</v>
      </c>
      <c r="B29" s="34">
        <v>29.32</v>
      </c>
      <c r="C29" s="34">
        <v>30.28</v>
      </c>
      <c r="D29" s="34">
        <v>30.63</v>
      </c>
      <c r="E29" s="35">
        <f t="shared" si="1"/>
        <v>4.467939973</v>
      </c>
      <c r="F29" s="36">
        <f t="shared" si="2"/>
        <v>0.02209559226</v>
      </c>
    </row>
    <row r="30">
      <c r="A30" s="15" t="s">
        <v>90</v>
      </c>
      <c r="B30" s="34">
        <v>30.11</v>
      </c>
      <c r="C30" s="34">
        <v>34.11</v>
      </c>
      <c r="D30" s="34">
        <v>31.45</v>
      </c>
      <c r="E30" s="35">
        <f t="shared" si="1"/>
        <v>4.450348721</v>
      </c>
      <c r="F30" s="36">
        <f t="shared" si="2"/>
        <v>0.02200953382</v>
      </c>
    </row>
    <row r="31">
      <c r="A31" s="15" t="s">
        <v>121</v>
      </c>
      <c r="B31" s="34">
        <v>29.0</v>
      </c>
      <c r="C31" s="34">
        <v>29.62</v>
      </c>
      <c r="D31" s="34">
        <v>30.24</v>
      </c>
      <c r="E31" s="35">
        <f t="shared" si="1"/>
        <v>4.275862069</v>
      </c>
      <c r="F31" s="36">
        <f t="shared" si="2"/>
        <v>0.02115553208</v>
      </c>
    </row>
    <row r="32">
      <c r="A32" s="15" t="s">
        <v>104</v>
      </c>
      <c r="B32" s="34">
        <v>26.92</v>
      </c>
      <c r="C32" s="34">
        <v>27.35</v>
      </c>
      <c r="D32" s="34">
        <v>28.07</v>
      </c>
      <c r="E32" s="35">
        <f t="shared" si="1"/>
        <v>4.27191679</v>
      </c>
      <c r="F32" s="36">
        <f t="shared" si="2"/>
        <v>0.02113621418</v>
      </c>
    </row>
    <row r="33">
      <c r="A33" s="15" t="s">
        <v>62</v>
      </c>
      <c r="B33" s="34">
        <v>44.59</v>
      </c>
      <c r="C33" s="34">
        <v>40.0</v>
      </c>
      <c r="D33" s="34">
        <v>46.38</v>
      </c>
      <c r="E33" s="35">
        <f t="shared" si="1"/>
        <v>4.014352994</v>
      </c>
      <c r="F33" s="36">
        <f t="shared" si="2"/>
        <v>0.01987427163</v>
      </c>
    </row>
    <row r="34">
      <c r="A34" s="15" t="s">
        <v>88</v>
      </c>
      <c r="B34" s="34">
        <v>28.16</v>
      </c>
      <c r="C34" s="34">
        <v>27.55</v>
      </c>
      <c r="D34" s="34">
        <v>29.26</v>
      </c>
      <c r="E34" s="35">
        <f t="shared" si="1"/>
        <v>3.90625</v>
      </c>
      <c r="F34" s="36">
        <f t="shared" si="2"/>
        <v>0.01934415189</v>
      </c>
    </row>
    <row r="35">
      <c r="A35" s="15" t="s">
        <v>76</v>
      </c>
      <c r="B35" s="34">
        <v>28.49</v>
      </c>
      <c r="C35" s="34">
        <v>28.65</v>
      </c>
      <c r="D35" s="34">
        <v>29.59</v>
      </c>
      <c r="E35" s="35">
        <f t="shared" si="1"/>
        <v>3.861003861</v>
      </c>
      <c r="F35" s="36">
        <f t="shared" si="2"/>
        <v>0.01912219023</v>
      </c>
    </row>
    <row r="36">
      <c r="A36" s="15" t="s">
        <v>134</v>
      </c>
      <c r="B36" s="34">
        <v>28.79</v>
      </c>
      <c r="C36" s="34">
        <v>29.53</v>
      </c>
      <c r="D36" s="34">
        <v>29.81</v>
      </c>
      <c r="E36" s="35">
        <f t="shared" si="1"/>
        <v>3.542896839</v>
      </c>
      <c r="F36" s="36">
        <f t="shared" si="2"/>
        <v>0.01756030209</v>
      </c>
    </row>
    <row r="37">
      <c r="A37" s="15" t="s">
        <v>127</v>
      </c>
      <c r="B37" s="34">
        <v>31.59</v>
      </c>
      <c r="C37" s="34">
        <v>31.44</v>
      </c>
      <c r="D37" s="34">
        <v>32.5</v>
      </c>
      <c r="E37" s="35">
        <f t="shared" si="1"/>
        <v>2.880658436</v>
      </c>
      <c r="F37" s="36">
        <f t="shared" si="2"/>
        <v>0.01430103242</v>
      </c>
    </row>
    <row r="38">
      <c r="A38" s="15" t="s">
        <v>139</v>
      </c>
      <c r="B38" s="34">
        <v>30.34</v>
      </c>
      <c r="C38" s="34">
        <v>30.7</v>
      </c>
      <c r="D38" s="34">
        <v>31.16</v>
      </c>
      <c r="E38" s="35">
        <f t="shared" si="1"/>
        <v>2.702702703</v>
      </c>
      <c r="F38" s="36">
        <f t="shared" si="2"/>
        <v>0.01342341942</v>
      </c>
    </row>
    <row r="39">
      <c r="A39" s="15" t="s">
        <v>100</v>
      </c>
      <c r="B39" s="34">
        <v>29.46</v>
      </c>
      <c r="C39" s="34">
        <v>29.8</v>
      </c>
      <c r="D39" s="34">
        <v>30.21</v>
      </c>
      <c r="E39" s="35">
        <f t="shared" si="1"/>
        <v>2.545824847</v>
      </c>
      <c r="F39" s="36">
        <f t="shared" si="2"/>
        <v>0.01264912407</v>
      </c>
    </row>
    <row r="40">
      <c r="A40" s="15" t="s">
        <v>141</v>
      </c>
      <c r="B40" s="34">
        <v>35.89</v>
      </c>
      <c r="C40" s="34">
        <v>36.1</v>
      </c>
      <c r="D40" s="34">
        <v>36.8</v>
      </c>
      <c r="E40" s="35">
        <f t="shared" si="1"/>
        <v>2.535525216</v>
      </c>
      <c r="F40" s="36">
        <f t="shared" si="2"/>
        <v>0.0125982679</v>
      </c>
    </row>
    <row r="41">
      <c r="A41" s="15" t="s">
        <v>52</v>
      </c>
      <c r="B41" s="34">
        <v>29.25</v>
      </c>
      <c r="C41" s="34">
        <v>29.85</v>
      </c>
      <c r="D41" s="34">
        <v>29.92</v>
      </c>
      <c r="E41" s="35">
        <f t="shared" si="1"/>
        <v>2.290598291</v>
      </c>
      <c r="F41" s="36">
        <f t="shared" si="2"/>
        <v>0.01138814651</v>
      </c>
    </row>
    <row r="42">
      <c r="A42" s="15" t="s">
        <v>123</v>
      </c>
      <c r="B42" s="34">
        <v>30.46</v>
      </c>
      <c r="C42" s="34">
        <v>30.56</v>
      </c>
      <c r="D42" s="34">
        <v>31.11</v>
      </c>
      <c r="E42" s="35">
        <f t="shared" si="1"/>
        <v>2.133946159</v>
      </c>
      <c r="F42" s="36">
        <f t="shared" si="2"/>
        <v>0.01061340857</v>
      </c>
    </row>
    <row r="43">
      <c r="A43" s="15" t="s">
        <v>94</v>
      </c>
      <c r="B43" s="34">
        <v>28.68</v>
      </c>
      <c r="C43" s="34">
        <v>28.86</v>
      </c>
      <c r="D43" s="34">
        <v>29.24</v>
      </c>
      <c r="E43" s="35">
        <f t="shared" si="1"/>
        <v>1.952580195</v>
      </c>
      <c r="F43" s="36">
        <f t="shared" si="2"/>
        <v>0.009715703529</v>
      </c>
    </row>
    <row r="44">
      <c r="A44" s="15" t="s">
        <v>107</v>
      </c>
      <c r="B44" s="34">
        <v>37.23</v>
      </c>
      <c r="C44" s="34">
        <v>37.24</v>
      </c>
      <c r="D44" s="34">
        <v>37.86</v>
      </c>
      <c r="E44" s="35">
        <f t="shared" si="1"/>
        <v>1.692183723</v>
      </c>
      <c r="F44" s="36">
        <f t="shared" si="2"/>
        <v>0.008425424723</v>
      </c>
    </row>
    <row r="45">
      <c r="A45" s="15" t="s">
        <v>48</v>
      </c>
      <c r="B45" s="34">
        <v>23.31</v>
      </c>
      <c r="C45" s="34">
        <v>23.76</v>
      </c>
      <c r="D45" s="34">
        <v>23.59</v>
      </c>
      <c r="E45" s="35">
        <f t="shared" si="1"/>
        <v>1.201201201</v>
      </c>
      <c r="F45" s="36">
        <f t="shared" si="2"/>
        <v>0.00598807747</v>
      </c>
    </row>
    <row r="46">
      <c r="A46" s="15" t="s">
        <v>46</v>
      </c>
      <c r="B46" s="34">
        <v>29.06</v>
      </c>
      <c r="C46" s="34">
        <v>28.6</v>
      </c>
      <c r="D46" s="34">
        <v>29.36</v>
      </c>
      <c r="E46" s="35">
        <f t="shared" si="1"/>
        <v>1.032346869</v>
      </c>
      <c r="F46" s="36">
        <f t="shared" si="2"/>
        <v>0.005148480915</v>
      </c>
    </row>
    <row r="47">
      <c r="A47" s="15" t="s">
        <v>68</v>
      </c>
      <c r="B47" s="34">
        <v>32.73</v>
      </c>
      <c r="C47" s="34">
        <v>31.48</v>
      </c>
      <c r="D47" s="34">
        <v>32.93</v>
      </c>
      <c r="E47" s="35">
        <f t="shared" si="1"/>
        <v>0.6110601894</v>
      </c>
      <c r="F47" s="36">
        <f t="shared" si="2"/>
        <v>0.003050647721</v>
      </c>
    </row>
    <row r="48">
      <c r="A48" s="15" t="s">
        <v>86</v>
      </c>
      <c r="B48" s="34">
        <v>37.52</v>
      </c>
      <c r="C48" s="34">
        <v>39.15</v>
      </c>
      <c r="D48" s="34">
        <v>37.58</v>
      </c>
      <c r="E48" s="35">
        <f t="shared" si="1"/>
        <v>0.1599147122</v>
      </c>
      <c r="F48" s="36">
        <f t="shared" si="2"/>
        <v>0.0007992541572</v>
      </c>
    </row>
    <row r="49">
      <c r="A49" s="15" t="s">
        <v>50</v>
      </c>
      <c r="B49" s="34">
        <v>37.25</v>
      </c>
      <c r="C49" s="34">
        <v>36.8</v>
      </c>
      <c r="D49" s="34">
        <v>36.62</v>
      </c>
      <c r="E49" s="35">
        <f t="shared" si="1"/>
        <v>-1.691275168</v>
      </c>
      <c r="F49" s="36">
        <f t="shared" si="2"/>
        <v>-0.008492436578</v>
      </c>
    </row>
    <row r="50">
      <c r="A50" s="15" t="s">
        <v>82</v>
      </c>
      <c r="B50" s="34">
        <v>39.02</v>
      </c>
      <c r="C50" s="34">
        <v>39.48</v>
      </c>
      <c r="D50" s="34">
        <v>38.18</v>
      </c>
      <c r="E50" s="35">
        <f t="shared" si="1"/>
        <v>-2.152742183</v>
      </c>
      <c r="F50" s="36">
        <f t="shared" si="2"/>
        <v>-0.0108222717</v>
      </c>
    </row>
    <row r="51">
      <c r="A51" s="15" t="s">
        <v>70</v>
      </c>
      <c r="B51" s="34">
        <v>30.61</v>
      </c>
      <c r="C51" s="34">
        <v>30.23</v>
      </c>
      <c r="D51" s="34">
        <v>29.26</v>
      </c>
      <c r="E51" s="35">
        <f t="shared" si="1"/>
        <v>-4.410323424</v>
      </c>
      <c r="F51" s="36">
        <f t="shared" si="2"/>
        <v>-0.0223002681</v>
      </c>
    </row>
    <row r="52">
      <c r="A52" s="15" t="s">
        <v>115</v>
      </c>
      <c r="B52" s="34">
        <v>36.6</v>
      </c>
      <c r="C52" s="34">
        <v>31.65</v>
      </c>
      <c r="D52" s="34">
        <v>31.59</v>
      </c>
      <c r="E52" s="35">
        <f t="shared" si="1"/>
        <v>-13.68852459</v>
      </c>
      <c r="F52" s="36">
        <f t="shared" si="2"/>
        <v>-0.07096030542</v>
      </c>
    </row>
    <row r="53">
      <c r="B53" s="24"/>
      <c r="C53" s="24"/>
      <c r="D53" s="24"/>
    </row>
    <row r="54">
      <c r="B54" s="24"/>
      <c r="C54" s="24"/>
      <c r="D54" s="24"/>
    </row>
    <row r="55">
      <c r="B55" s="24"/>
      <c r="C55" s="24"/>
      <c r="D55" s="24"/>
    </row>
    <row r="56">
      <c r="B56" s="24"/>
      <c r="C56" s="24"/>
      <c r="D56" s="24"/>
    </row>
    <row r="57">
      <c r="B57" s="24"/>
      <c r="C57" s="24"/>
      <c r="D57" s="24"/>
    </row>
    <row r="58">
      <c r="B58" s="24"/>
      <c r="C58" s="24"/>
      <c r="D58" s="24"/>
    </row>
    <row r="59">
      <c r="B59" s="24"/>
      <c r="C59" s="24"/>
      <c r="D59" s="24"/>
    </row>
    <row r="60">
      <c r="B60" s="24"/>
      <c r="C60" s="24"/>
      <c r="D60" s="24"/>
    </row>
    <row r="61">
      <c r="B61" s="24"/>
      <c r="C61" s="24"/>
      <c r="D61" s="24"/>
    </row>
    <row r="62">
      <c r="B62" s="24"/>
      <c r="C62" s="24"/>
      <c r="D62" s="24"/>
    </row>
    <row r="63">
      <c r="B63" s="24"/>
      <c r="C63" s="24"/>
      <c r="D63" s="24"/>
    </row>
    <row r="64">
      <c r="B64" s="24"/>
      <c r="C64" s="24"/>
      <c r="D64" s="24"/>
    </row>
    <row r="65">
      <c r="B65" s="24"/>
      <c r="C65" s="24"/>
      <c r="D65" s="24"/>
    </row>
    <row r="66">
      <c r="B66" s="24"/>
      <c r="C66" s="24"/>
      <c r="D66" s="24"/>
    </row>
    <row r="67">
      <c r="B67" s="24"/>
      <c r="C67" s="24"/>
      <c r="D67" s="24"/>
    </row>
    <row r="68">
      <c r="B68" s="24"/>
      <c r="C68" s="24"/>
      <c r="D68" s="24"/>
    </row>
    <row r="69">
      <c r="B69" s="24"/>
      <c r="C69" s="24"/>
      <c r="D69" s="24"/>
    </row>
    <row r="70">
      <c r="B70" s="24"/>
      <c r="C70" s="24"/>
      <c r="D70" s="24"/>
    </row>
    <row r="71">
      <c r="B71" s="24"/>
      <c r="C71" s="24"/>
      <c r="D71" s="24"/>
    </row>
    <row r="72">
      <c r="B72" s="24"/>
      <c r="C72" s="24"/>
      <c r="D72" s="24"/>
    </row>
    <row r="73">
      <c r="B73" s="24"/>
      <c r="C73" s="24"/>
      <c r="D73" s="24"/>
    </row>
    <row r="74">
      <c r="B74" s="24"/>
      <c r="C74" s="24"/>
      <c r="D74" s="24"/>
    </row>
    <row r="75">
      <c r="B75" s="24"/>
      <c r="C75" s="24"/>
      <c r="D75" s="24"/>
    </row>
    <row r="76">
      <c r="B76" s="24"/>
      <c r="C76" s="24"/>
      <c r="D76" s="24"/>
    </row>
    <row r="77">
      <c r="B77" s="24"/>
      <c r="C77" s="24"/>
      <c r="D77" s="24"/>
    </row>
    <row r="78">
      <c r="B78" s="24"/>
      <c r="C78" s="24"/>
      <c r="D78" s="24"/>
    </row>
    <row r="79">
      <c r="B79" s="24"/>
      <c r="C79" s="24"/>
      <c r="D79" s="24"/>
    </row>
    <row r="80">
      <c r="B80" s="24"/>
      <c r="C80" s="24"/>
      <c r="D80" s="24"/>
    </row>
    <row r="81">
      <c r="B81" s="24"/>
      <c r="C81" s="24"/>
      <c r="D81" s="24"/>
    </row>
    <row r="82">
      <c r="B82" s="24"/>
      <c r="C82" s="24"/>
      <c r="D82" s="24"/>
    </row>
    <row r="83">
      <c r="B83" s="24"/>
      <c r="C83" s="24"/>
      <c r="D83" s="24"/>
    </row>
    <row r="84">
      <c r="B84" s="24"/>
      <c r="C84" s="24"/>
      <c r="D84" s="24"/>
    </row>
    <row r="85">
      <c r="B85" s="24"/>
      <c r="C85" s="24"/>
      <c r="D85" s="24"/>
    </row>
    <row r="86">
      <c r="B86" s="24"/>
      <c r="C86" s="24"/>
      <c r="D86" s="24"/>
    </row>
    <row r="87">
      <c r="B87" s="24"/>
      <c r="C87" s="24"/>
      <c r="D87" s="24"/>
    </row>
    <row r="88">
      <c r="B88" s="24"/>
      <c r="C88" s="24"/>
      <c r="D88" s="24"/>
    </row>
    <row r="89">
      <c r="B89" s="24"/>
      <c r="C89" s="24"/>
      <c r="D89" s="24"/>
    </row>
    <row r="90">
      <c r="B90" s="24"/>
      <c r="C90" s="24"/>
      <c r="D90" s="24"/>
    </row>
    <row r="91">
      <c r="B91" s="24"/>
      <c r="C91" s="24"/>
      <c r="D91" s="24"/>
    </row>
    <row r="92">
      <c r="B92" s="24"/>
      <c r="C92" s="24"/>
      <c r="D92" s="24"/>
    </row>
    <row r="93">
      <c r="B93" s="24"/>
      <c r="C93" s="24"/>
      <c r="D93" s="24"/>
    </row>
    <row r="94">
      <c r="B94" s="24"/>
      <c r="C94" s="24"/>
      <c r="D94" s="24"/>
    </row>
    <row r="95">
      <c r="B95" s="24"/>
      <c r="C95" s="24"/>
      <c r="D95" s="24"/>
    </row>
    <row r="96">
      <c r="B96" s="24"/>
      <c r="C96" s="24"/>
      <c r="D96" s="24"/>
    </row>
    <row r="97">
      <c r="B97" s="24"/>
      <c r="C97" s="24"/>
      <c r="D97" s="24"/>
    </row>
    <row r="98">
      <c r="B98" s="24"/>
      <c r="C98" s="24"/>
      <c r="D98" s="24"/>
    </row>
    <row r="99">
      <c r="B99" s="24"/>
      <c r="C99" s="24"/>
      <c r="D99" s="24"/>
    </row>
    <row r="100">
      <c r="B100" s="24"/>
      <c r="C100" s="24"/>
      <c r="D100" s="24"/>
    </row>
    <row r="101">
      <c r="B101" s="24"/>
      <c r="C101" s="24"/>
      <c r="D101" s="24"/>
    </row>
    <row r="102">
      <c r="B102" s="24"/>
      <c r="C102" s="24"/>
      <c r="D102" s="24"/>
    </row>
    <row r="103">
      <c r="B103" s="24"/>
      <c r="C103" s="24"/>
      <c r="D103" s="24"/>
    </row>
    <row r="104">
      <c r="B104" s="24"/>
      <c r="C104" s="24"/>
      <c r="D104" s="24"/>
    </row>
    <row r="105">
      <c r="B105" s="24"/>
      <c r="C105" s="24"/>
      <c r="D105" s="24"/>
    </row>
    <row r="106">
      <c r="B106" s="24"/>
      <c r="C106" s="24"/>
      <c r="D106" s="24"/>
    </row>
    <row r="107">
      <c r="B107" s="24"/>
      <c r="C107" s="24"/>
      <c r="D107" s="24"/>
    </row>
    <row r="108">
      <c r="B108" s="24"/>
      <c r="C108" s="24"/>
      <c r="D108" s="24"/>
    </row>
    <row r="109">
      <c r="B109" s="24"/>
      <c r="C109" s="24"/>
      <c r="D109" s="24"/>
    </row>
    <row r="110">
      <c r="B110" s="24"/>
      <c r="C110" s="24"/>
      <c r="D110" s="24"/>
    </row>
    <row r="111">
      <c r="B111" s="24"/>
      <c r="C111" s="24"/>
      <c r="D111" s="24"/>
    </row>
    <row r="112">
      <c r="B112" s="24"/>
      <c r="C112" s="24"/>
      <c r="D112" s="24"/>
    </row>
    <row r="113">
      <c r="B113" s="24"/>
      <c r="C113" s="24"/>
      <c r="D113" s="24"/>
    </row>
    <row r="114">
      <c r="B114" s="24"/>
      <c r="C114" s="24"/>
      <c r="D114" s="24"/>
    </row>
    <row r="115">
      <c r="B115" s="24"/>
      <c r="C115" s="24"/>
      <c r="D115" s="24"/>
    </row>
    <row r="116">
      <c r="B116" s="24"/>
      <c r="C116" s="24"/>
      <c r="D116" s="24"/>
    </row>
    <row r="117">
      <c r="B117" s="24"/>
      <c r="C117" s="24"/>
      <c r="D117" s="24"/>
    </row>
    <row r="118">
      <c r="B118" s="24"/>
      <c r="C118" s="24"/>
      <c r="D118" s="24"/>
    </row>
    <row r="119">
      <c r="B119" s="24"/>
      <c r="C119" s="24"/>
      <c r="D119" s="24"/>
    </row>
    <row r="120">
      <c r="B120" s="24"/>
      <c r="C120" s="24"/>
      <c r="D120" s="24"/>
    </row>
    <row r="121">
      <c r="B121" s="24"/>
      <c r="C121" s="24"/>
      <c r="D121" s="24"/>
    </row>
    <row r="122">
      <c r="B122" s="24"/>
      <c r="C122" s="24"/>
      <c r="D122" s="24"/>
    </row>
    <row r="123">
      <c r="B123" s="24"/>
      <c r="C123" s="24"/>
      <c r="D123" s="24"/>
    </row>
    <row r="124">
      <c r="B124" s="24"/>
      <c r="C124" s="24"/>
      <c r="D124" s="24"/>
    </row>
    <row r="125">
      <c r="B125" s="24"/>
      <c r="C125" s="24"/>
      <c r="D125" s="24"/>
    </row>
    <row r="126">
      <c r="B126" s="24"/>
      <c r="C126" s="24"/>
      <c r="D126" s="24"/>
    </row>
    <row r="127">
      <c r="B127" s="24"/>
      <c r="C127" s="24"/>
      <c r="D127" s="24"/>
    </row>
    <row r="128">
      <c r="B128" s="24"/>
      <c r="C128" s="24"/>
      <c r="D128" s="24"/>
    </row>
    <row r="129">
      <c r="B129" s="24"/>
      <c r="C129" s="24"/>
      <c r="D129" s="24"/>
    </row>
    <row r="130">
      <c r="B130" s="24"/>
      <c r="C130" s="24"/>
      <c r="D130" s="24"/>
    </row>
    <row r="131">
      <c r="B131" s="24"/>
      <c r="C131" s="24"/>
      <c r="D131" s="24"/>
    </row>
    <row r="132">
      <c r="B132" s="24"/>
      <c r="C132" s="24"/>
      <c r="D132" s="24"/>
    </row>
    <row r="133">
      <c r="B133" s="24"/>
      <c r="C133" s="24"/>
      <c r="D133" s="24"/>
    </row>
    <row r="134">
      <c r="B134" s="24"/>
      <c r="C134" s="24"/>
      <c r="D134" s="24"/>
    </row>
    <row r="135">
      <c r="B135" s="24"/>
      <c r="C135" s="24"/>
      <c r="D135" s="24"/>
    </row>
    <row r="136">
      <c r="B136" s="24"/>
      <c r="C136" s="24"/>
      <c r="D136" s="24"/>
    </row>
    <row r="137">
      <c r="B137" s="24"/>
      <c r="C137" s="24"/>
      <c r="D137" s="24"/>
    </row>
    <row r="138">
      <c r="B138" s="24"/>
      <c r="C138" s="24"/>
      <c r="D138" s="24"/>
    </row>
    <row r="139">
      <c r="B139" s="24"/>
      <c r="C139" s="24"/>
      <c r="D139" s="24"/>
    </row>
    <row r="140">
      <c r="B140" s="24"/>
      <c r="C140" s="24"/>
      <c r="D140" s="24"/>
    </row>
    <row r="141">
      <c r="B141" s="24"/>
      <c r="C141" s="24"/>
      <c r="D141" s="24"/>
    </row>
    <row r="142">
      <c r="B142" s="24"/>
      <c r="C142" s="24"/>
      <c r="D142" s="24"/>
    </row>
    <row r="143">
      <c r="B143" s="24"/>
      <c r="C143" s="24"/>
      <c r="D143" s="24"/>
    </row>
    <row r="144">
      <c r="B144" s="24"/>
      <c r="C144" s="24"/>
      <c r="D144" s="24"/>
    </row>
    <row r="145">
      <c r="B145" s="24"/>
      <c r="C145" s="24"/>
      <c r="D145" s="24"/>
    </row>
    <row r="146">
      <c r="B146" s="24"/>
      <c r="C146" s="24"/>
      <c r="D146" s="24"/>
    </row>
    <row r="147">
      <c r="B147" s="24"/>
      <c r="C147" s="24"/>
      <c r="D147" s="24"/>
    </row>
    <row r="148">
      <c r="B148" s="24"/>
      <c r="C148" s="24"/>
      <c r="D148" s="24"/>
    </row>
    <row r="149">
      <c r="B149" s="24"/>
      <c r="C149" s="24"/>
      <c r="D149" s="24"/>
    </row>
    <row r="150">
      <c r="B150" s="24"/>
      <c r="C150" s="24"/>
      <c r="D150" s="24"/>
    </row>
    <row r="151">
      <c r="B151" s="24"/>
      <c r="C151" s="24"/>
      <c r="D151" s="24"/>
    </row>
    <row r="152">
      <c r="B152" s="24"/>
      <c r="C152" s="24"/>
      <c r="D152" s="24"/>
    </row>
    <row r="153">
      <c r="B153" s="24"/>
      <c r="C153" s="24"/>
      <c r="D153" s="24"/>
    </row>
    <row r="154">
      <c r="B154" s="24"/>
      <c r="C154" s="24"/>
      <c r="D154" s="24"/>
    </row>
    <row r="155">
      <c r="B155" s="24"/>
      <c r="C155" s="24"/>
      <c r="D155" s="24"/>
    </row>
    <row r="156">
      <c r="B156" s="24"/>
      <c r="C156" s="24"/>
      <c r="D156" s="24"/>
    </row>
    <row r="157">
      <c r="B157" s="24"/>
      <c r="C157" s="24"/>
      <c r="D157" s="24"/>
    </row>
    <row r="158">
      <c r="B158" s="24"/>
      <c r="C158" s="24"/>
      <c r="D158" s="24"/>
    </row>
    <row r="159">
      <c r="B159" s="24"/>
      <c r="C159" s="24"/>
      <c r="D159" s="24"/>
    </row>
    <row r="160">
      <c r="B160" s="24"/>
      <c r="C160" s="24"/>
      <c r="D160" s="24"/>
    </row>
    <row r="161">
      <c r="B161" s="24"/>
      <c r="C161" s="24"/>
      <c r="D161" s="24"/>
    </row>
    <row r="162">
      <c r="B162" s="24"/>
      <c r="C162" s="24"/>
      <c r="D162" s="24"/>
    </row>
    <row r="163">
      <c r="B163" s="24"/>
      <c r="C163" s="24"/>
      <c r="D163" s="24"/>
    </row>
    <row r="164">
      <c r="B164" s="24"/>
      <c r="C164" s="24"/>
      <c r="D164" s="24"/>
    </row>
    <row r="165">
      <c r="B165" s="24"/>
      <c r="C165" s="24"/>
      <c r="D165" s="24"/>
    </row>
    <row r="166">
      <c r="B166" s="24"/>
      <c r="C166" s="24"/>
      <c r="D166" s="24"/>
    </row>
    <row r="167">
      <c r="B167" s="24"/>
      <c r="C167" s="24"/>
      <c r="D167" s="24"/>
    </row>
    <row r="168">
      <c r="B168" s="24"/>
      <c r="C168" s="24"/>
      <c r="D168" s="24"/>
    </row>
    <row r="169">
      <c r="B169" s="24"/>
      <c r="C169" s="24"/>
      <c r="D169" s="24"/>
    </row>
    <row r="170">
      <c r="B170" s="24"/>
      <c r="C170" s="24"/>
      <c r="D170" s="24"/>
    </row>
    <row r="171">
      <c r="B171" s="24"/>
      <c r="C171" s="24"/>
      <c r="D171" s="24"/>
    </row>
    <row r="172">
      <c r="B172" s="24"/>
      <c r="C172" s="24"/>
      <c r="D172" s="24"/>
    </row>
    <row r="173">
      <c r="B173" s="24"/>
      <c r="C173" s="24"/>
      <c r="D173" s="24"/>
    </row>
    <row r="174">
      <c r="B174" s="24"/>
      <c r="C174" s="24"/>
      <c r="D174" s="24"/>
    </row>
    <row r="175">
      <c r="B175" s="24"/>
      <c r="C175" s="24"/>
      <c r="D175" s="24"/>
    </row>
    <row r="176">
      <c r="B176" s="24"/>
      <c r="C176" s="24"/>
      <c r="D176" s="24"/>
    </row>
    <row r="177">
      <c r="B177" s="24"/>
      <c r="C177" s="24"/>
      <c r="D177" s="24"/>
    </row>
    <row r="178">
      <c r="B178" s="24"/>
      <c r="C178" s="24"/>
      <c r="D178" s="24"/>
    </row>
    <row r="179">
      <c r="B179" s="24"/>
      <c r="C179" s="24"/>
      <c r="D179" s="24"/>
    </row>
    <row r="180">
      <c r="B180" s="24"/>
      <c r="C180" s="24"/>
      <c r="D180" s="24"/>
    </row>
    <row r="181">
      <c r="B181" s="24"/>
      <c r="C181" s="24"/>
      <c r="D181" s="24"/>
    </row>
    <row r="182">
      <c r="B182" s="24"/>
      <c r="C182" s="24"/>
      <c r="D182" s="24"/>
    </row>
    <row r="183">
      <c r="B183" s="24"/>
      <c r="C183" s="24"/>
      <c r="D183" s="24"/>
    </row>
    <row r="184">
      <c r="B184" s="24"/>
      <c r="C184" s="24"/>
      <c r="D184" s="24"/>
    </row>
    <row r="185">
      <c r="B185" s="24"/>
      <c r="C185" s="24"/>
      <c r="D185" s="24"/>
    </row>
    <row r="186">
      <c r="B186" s="24"/>
      <c r="C186" s="24"/>
      <c r="D186" s="24"/>
    </row>
    <row r="187">
      <c r="B187" s="24"/>
      <c r="C187" s="24"/>
      <c r="D187" s="24"/>
    </row>
    <row r="188">
      <c r="B188" s="24"/>
      <c r="C188" s="24"/>
      <c r="D188" s="24"/>
    </row>
    <row r="189">
      <c r="B189" s="24"/>
      <c r="C189" s="24"/>
      <c r="D189" s="24"/>
    </row>
    <row r="190">
      <c r="B190" s="24"/>
      <c r="C190" s="24"/>
      <c r="D190" s="24"/>
    </row>
    <row r="191">
      <c r="B191" s="24"/>
      <c r="C191" s="24"/>
      <c r="D191" s="24"/>
    </row>
    <row r="192">
      <c r="B192" s="24"/>
      <c r="C192" s="24"/>
      <c r="D192" s="24"/>
    </row>
    <row r="193">
      <c r="B193" s="24"/>
      <c r="C193" s="24"/>
      <c r="D193" s="24"/>
    </row>
    <row r="194">
      <c r="B194" s="24"/>
      <c r="C194" s="24"/>
      <c r="D194" s="24"/>
    </row>
    <row r="195">
      <c r="B195" s="24"/>
      <c r="C195" s="24"/>
      <c r="D195" s="24"/>
    </row>
    <row r="196">
      <c r="B196" s="24"/>
      <c r="C196" s="24"/>
      <c r="D196" s="24"/>
    </row>
    <row r="197">
      <c r="B197" s="24"/>
      <c r="C197" s="24"/>
      <c r="D197" s="24"/>
    </row>
    <row r="198">
      <c r="B198" s="24"/>
      <c r="C198" s="24"/>
      <c r="D198" s="24"/>
    </row>
    <row r="199">
      <c r="B199" s="24"/>
      <c r="C199" s="24"/>
      <c r="D199" s="24"/>
    </row>
    <row r="200">
      <c r="B200" s="24"/>
      <c r="C200" s="24"/>
      <c r="D200" s="24"/>
    </row>
    <row r="201">
      <c r="B201" s="24"/>
      <c r="C201" s="24"/>
      <c r="D201" s="24"/>
    </row>
    <row r="202">
      <c r="B202" s="24"/>
      <c r="C202" s="24"/>
      <c r="D202" s="24"/>
    </row>
    <row r="203">
      <c r="B203" s="24"/>
      <c r="C203" s="24"/>
      <c r="D203" s="24"/>
    </row>
    <row r="204">
      <c r="B204" s="24"/>
      <c r="C204" s="24"/>
      <c r="D204" s="24"/>
    </row>
    <row r="205">
      <c r="B205" s="24"/>
      <c r="C205" s="24"/>
      <c r="D205" s="24"/>
    </row>
    <row r="206">
      <c r="B206" s="24"/>
      <c r="C206" s="24"/>
      <c r="D206" s="24"/>
    </row>
    <row r="207">
      <c r="B207" s="24"/>
      <c r="C207" s="24"/>
      <c r="D207" s="24"/>
    </row>
    <row r="208">
      <c r="B208" s="24"/>
      <c r="C208" s="24"/>
      <c r="D208" s="24"/>
    </row>
    <row r="209">
      <c r="B209" s="24"/>
      <c r="C209" s="24"/>
      <c r="D209" s="24"/>
    </row>
    <row r="210">
      <c r="B210" s="24"/>
      <c r="C210" s="24"/>
      <c r="D210" s="24"/>
    </row>
    <row r="211">
      <c r="B211" s="24"/>
      <c r="C211" s="24"/>
      <c r="D211" s="24"/>
    </row>
    <row r="212">
      <c r="B212" s="24"/>
      <c r="C212" s="24"/>
      <c r="D212" s="24"/>
    </row>
    <row r="213">
      <c r="B213" s="24"/>
      <c r="C213" s="24"/>
      <c r="D213" s="24"/>
    </row>
    <row r="214">
      <c r="B214" s="24"/>
      <c r="C214" s="24"/>
      <c r="D214" s="24"/>
    </row>
    <row r="215">
      <c r="B215" s="24"/>
      <c r="C215" s="24"/>
      <c r="D215" s="24"/>
    </row>
    <row r="216">
      <c r="B216" s="24"/>
      <c r="C216" s="24"/>
      <c r="D216" s="24"/>
    </row>
    <row r="217">
      <c r="B217" s="24"/>
      <c r="C217" s="24"/>
      <c r="D217" s="24"/>
    </row>
    <row r="218">
      <c r="B218" s="24"/>
      <c r="C218" s="24"/>
      <c r="D218" s="24"/>
    </row>
    <row r="219">
      <c r="B219" s="24"/>
      <c r="C219" s="24"/>
      <c r="D219" s="24"/>
    </row>
    <row r="220">
      <c r="B220" s="24"/>
      <c r="C220" s="24"/>
      <c r="D220" s="24"/>
    </row>
    <row r="221">
      <c r="B221" s="24"/>
      <c r="C221" s="24"/>
      <c r="D221" s="24"/>
    </row>
    <row r="222">
      <c r="B222" s="24"/>
      <c r="C222" s="24"/>
      <c r="D222" s="24"/>
    </row>
    <row r="223">
      <c r="B223" s="24"/>
      <c r="C223" s="24"/>
      <c r="D223" s="24"/>
    </row>
    <row r="224">
      <c r="B224" s="24"/>
      <c r="C224" s="24"/>
      <c r="D224" s="24"/>
    </row>
    <row r="225">
      <c r="B225" s="24"/>
      <c r="C225" s="24"/>
      <c r="D225" s="24"/>
    </row>
    <row r="226">
      <c r="B226" s="24"/>
      <c r="C226" s="24"/>
      <c r="D226" s="24"/>
    </row>
    <row r="227">
      <c r="B227" s="24"/>
      <c r="C227" s="24"/>
      <c r="D227" s="24"/>
    </row>
    <row r="228">
      <c r="B228" s="24"/>
      <c r="C228" s="24"/>
      <c r="D228" s="24"/>
    </row>
    <row r="229">
      <c r="B229" s="24"/>
      <c r="C229" s="24"/>
      <c r="D229" s="24"/>
    </row>
    <row r="230">
      <c r="B230" s="24"/>
      <c r="C230" s="24"/>
      <c r="D230" s="24"/>
    </row>
    <row r="231">
      <c r="B231" s="24"/>
      <c r="C231" s="24"/>
      <c r="D231" s="24"/>
    </row>
    <row r="232">
      <c r="B232" s="24"/>
      <c r="C232" s="24"/>
      <c r="D232" s="24"/>
    </row>
    <row r="233">
      <c r="B233" s="24"/>
      <c r="C233" s="24"/>
      <c r="D233" s="24"/>
    </row>
    <row r="234">
      <c r="B234" s="24"/>
      <c r="C234" s="24"/>
      <c r="D234" s="24"/>
    </row>
    <row r="235">
      <c r="B235" s="24"/>
      <c r="C235" s="24"/>
      <c r="D235" s="24"/>
    </row>
    <row r="236">
      <c r="B236" s="24"/>
      <c r="C236" s="24"/>
      <c r="D236" s="24"/>
    </row>
    <row r="237">
      <c r="B237" s="24"/>
      <c r="C237" s="24"/>
      <c r="D237" s="24"/>
    </row>
    <row r="238">
      <c r="B238" s="24"/>
      <c r="C238" s="24"/>
      <c r="D238" s="24"/>
    </row>
    <row r="239">
      <c r="B239" s="24"/>
      <c r="C239" s="24"/>
      <c r="D239" s="24"/>
    </row>
    <row r="240">
      <c r="B240" s="24"/>
      <c r="C240" s="24"/>
      <c r="D240" s="24"/>
    </row>
    <row r="241">
      <c r="B241" s="24"/>
      <c r="C241" s="24"/>
      <c r="D241" s="24"/>
    </row>
    <row r="242">
      <c r="B242" s="24"/>
      <c r="C242" s="24"/>
      <c r="D242" s="24"/>
    </row>
    <row r="243">
      <c r="B243" s="24"/>
      <c r="C243" s="24"/>
      <c r="D243" s="24"/>
    </row>
    <row r="244">
      <c r="B244" s="24"/>
      <c r="C244" s="24"/>
      <c r="D244" s="24"/>
    </row>
    <row r="245">
      <c r="B245" s="24"/>
      <c r="C245" s="24"/>
      <c r="D245" s="24"/>
    </row>
    <row r="246">
      <c r="B246" s="24"/>
      <c r="C246" s="24"/>
      <c r="D246" s="24"/>
    </row>
    <row r="247">
      <c r="B247" s="24"/>
      <c r="C247" s="24"/>
      <c r="D247" s="24"/>
    </row>
    <row r="248">
      <c r="B248" s="24"/>
      <c r="C248" s="24"/>
      <c r="D248" s="24"/>
    </row>
    <row r="249">
      <c r="B249" s="24"/>
      <c r="C249" s="24"/>
      <c r="D249" s="24"/>
    </row>
    <row r="250">
      <c r="B250" s="24"/>
      <c r="C250" s="24"/>
      <c r="D250" s="24"/>
    </row>
    <row r="251">
      <c r="B251" s="24"/>
      <c r="C251" s="24"/>
      <c r="D251" s="24"/>
    </row>
    <row r="252">
      <c r="B252" s="24"/>
      <c r="C252" s="24"/>
      <c r="D252" s="24"/>
    </row>
    <row r="253">
      <c r="B253" s="24"/>
      <c r="C253" s="24"/>
      <c r="D253" s="24"/>
    </row>
    <row r="254">
      <c r="B254" s="24"/>
      <c r="C254" s="24"/>
      <c r="D254" s="24"/>
    </row>
    <row r="255">
      <c r="B255" s="24"/>
      <c r="C255" s="24"/>
      <c r="D255" s="24"/>
    </row>
    <row r="256">
      <c r="B256" s="24"/>
      <c r="C256" s="24"/>
      <c r="D256" s="24"/>
    </row>
    <row r="257">
      <c r="B257" s="24"/>
      <c r="C257" s="24"/>
      <c r="D257" s="24"/>
    </row>
    <row r="258">
      <c r="B258" s="24"/>
      <c r="C258" s="24"/>
      <c r="D258" s="24"/>
    </row>
    <row r="259">
      <c r="B259" s="24"/>
      <c r="C259" s="24"/>
      <c r="D259" s="24"/>
    </row>
    <row r="260">
      <c r="B260" s="24"/>
      <c r="C260" s="24"/>
      <c r="D260" s="24"/>
    </row>
    <row r="261">
      <c r="B261" s="24"/>
      <c r="C261" s="24"/>
      <c r="D261" s="24"/>
    </row>
    <row r="262">
      <c r="B262" s="24"/>
      <c r="C262" s="24"/>
      <c r="D262" s="24"/>
    </row>
    <row r="263">
      <c r="B263" s="24"/>
      <c r="C263" s="24"/>
      <c r="D263" s="24"/>
    </row>
    <row r="264">
      <c r="B264" s="24"/>
      <c r="C264" s="24"/>
      <c r="D264" s="24"/>
    </row>
    <row r="265">
      <c r="B265" s="24"/>
      <c r="C265" s="24"/>
      <c r="D265" s="24"/>
    </row>
    <row r="266">
      <c r="B266" s="24"/>
      <c r="C266" s="24"/>
      <c r="D266" s="24"/>
    </row>
    <row r="267">
      <c r="B267" s="24"/>
      <c r="C267" s="24"/>
      <c r="D267" s="24"/>
    </row>
    <row r="268">
      <c r="B268" s="24"/>
      <c r="C268" s="24"/>
      <c r="D268" s="24"/>
    </row>
    <row r="269">
      <c r="B269" s="24"/>
      <c r="C269" s="24"/>
      <c r="D269" s="24"/>
    </row>
    <row r="270">
      <c r="B270" s="24"/>
      <c r="C270" s="24"/>
      <c r="D270" s="24"/>
    </row>
    <row r="271">
      <c r="B271" s="24"/>
      <c r="C271" s="24"/>
      <c r="D271" s="24"/>
    </row>
    <row r="272">
      <c r="B272" s="24"/>
      <c r="C272" s="24"/>
      <c r="D272" s="24"/>
    </row>
    <row r="273">
      <c r="B273" s="24"/>
      <c r="C273" s="24"/>
      <c r="D273" s="24"/>
    </row>
    <row r="274">
      <c r="B274" s="24"/>
      <c r="C274" s="24"/>
      <c r="D274" s="24"/>
    </row>
    <row r="275">
      <c r="B275" s="24"/>
      <c r="C275" s="24"/>
      <c r="D275" s="24"/>
    </row>
    <row r="276">
      <c r="B276" s="24"/>
      <c r="C276" s="24"/>
      <c r="D276" s="24"/>
    </row>
    <row r="277">
      <c r="B277" s="24"/>
      <c r="C277" s="24"/>
      <c r="D277" s="24"/>
    </row>
    <row r="278">
      <c r="B278" s="24"/>
      <c r="C278" s="24"/>
      <c r="D278" s="24"/>
    </row>
    <row r="279">
      <c r="B279" s="24"/>
      <c r="C279" s="24"/>
      <c r="D279" s="24"/>
    </row>
    <row r="280">
      <c r="B280" s="24"/>
      <c r="C280" s="24"/>
      <c r="D280" s="24"/>
    </row>
    <row r="281">
      <c r="B281" s="24"/>
      <c r="C281" s="24"/>
      <c r="D281" s="24"/>
    </row>
    <row r="282">
      <c r="B282" s="24"/>
      <c r="C282" s="24"/>
      <c r="D282" s="24"/>
    </row>
    <row r="283">
      <c r="B283" s="24"/>
      <c r="C283" s="24"/>
      <c r="D283" s="24"/>
    </row>
    <row r="284">
      <c r="B284" s="24"/>
      <c r="C284" s="24"/>
      <c r="D284" s="24"/>
    </row>
    <row r="285">
      <c r="B285" s="24"/>
      <c r="C285" s="24"/>
      <c r="D285" s="24"/>
    </row>
    <row r="286">
      <c r="B286" s="24"/>
      <c r="C286" s="24"/>
      <c r="D286" s="24"/>
    </row>
    <row r="287">
      <c r="B287" s="24"/>
      <c r="C287" s="24"/>
      <c r="D287" s="24"/>
    </row>
    <row r="288">
      <c r="B288" s="24"/>
      <c r="C288" s="24"/>
      <c r="D288" s="24"/>
    </row>
    <row r="289">
      <c r="B289" s="24"/>
      <c r="C289" s="24"/>
      <c r="D289" s="24"/>
    </row>
    <row r="290">
      <c r="B290" s="24"/>
      <c r="C290" s="24"/>
      <c r="D290" s="24"/>
    </row>
    <row r="291">
      <c r="B291" s="24"/>
      <c r="C291" s="24"/>
      <c r="D291" s="24"/>
    </row>
    <row r="292">
      <c r="B292" s="24"/>
      <c r="C292" s="24"/>
      <c r="D292" s="24"/>
    </row>
    <row r="293">
      <c r="B293" s="24"/>
      <c r="C293" s="24"/>
      <c r="D293" s="24"/>
    </row>
    <row r="294">
      <c r="B294" s="24"/>
      <c r="C294" s="24"/>
      <c r="D294" s="24"/>
    </row>
    <row r="295">
      <c r="B295" s="24"/>
      <c r="C295" s="24"/>
      <c r="D295" s="24"/>
    </row>
    <row r="296">
      <c r="B296" s="24"/>
      <c r="C296" s="24"/>
      <c r="D296" s="24"/>
    </row>
    <row r="297">
      <c r="B297" s="24"/>
      <c r="C297" s="24"/>
      <c r="D297" s="24"/>
    </row>
    <row r="298">
      <c r="B298" s="24"/>
      <c r="C298" s="24"/>
      <c r="D298" s="24"/>
    </row>
    <row r="299">
      <c r="B299" s="24"/>
      <c r="C299" s="24"/>
      <c r="D299" s="24"/>
    </row>
    <row r="300">
      <c r="B300" s="24"/>
      <c r="C300" s="24"/>
      <c r="D300" s="24"/>
    </row>
    <row r="301">
      <c r="B301" s="24"/>
      <c r="C301" s="24"/>
      <c r="D301" s="24"/>
    </row>
    <row r="302">
      <c r="B302" s="24"/>
      <c r="C302" s="24"/>
      <c r="D302" s="24"/>
    </row>
    <row r="303">
      <c r="B303" s="24"/>
      <c r="C303" s="24"/>
      <c r="D303" s="24"/>
    </row>
    <row r="304">
      <c r="B304" s="24"/>
      <c r="C304" s="24"/>
      <c r="D304" s="24"/>
    </row>
    <row r="305">
      <c r="B305" s="24"/>
      <c r="C305" s="24"/>
      <c r="D305" s="24"/>
    </row>
    <row r="306">
      <c r="B306" s="24"/>
      <c r="C306" s="24"/>
      <c r="D306" s="24"/>
    </row>
    <row r="307">
      <c r="B307" s="24"/>
      <c r="C307" s="24"/>
      <c r="D307" s="24"/>
    </row>
    <row r="308">
      <c r="B308" s="24"/>
      <c r="C308" s="24"/>
      <c r="D308" s="24"/>
    </row>
    <row r="309">
      <c r="B309" s="24"/>
      <c r="C309" s="24"/>
      <c r="D309" s="24"/>
    </row>
    <row r="310">
      <c r="B310" s="24"/>
      <c r="C310" s="24"/>
      <c r="D310" s="24"/>
    </row>
    <row r="311">
      <c r="B311" s="24"/>
      <c r="C311" s="24"/>
      <c r="D311" s="24"/>
    </row>
    <row r="312">
      <c r="B312" s="24"/>
      <c r="C312" s="24"/>
      <c r="D312" s="24"/>
    </row>
    <row r="313">
      <c r="B313" s="24"/>
      <c r="C313" s="24"/>
      <c r="D313" s="24"/>
    </row>
    <row r="314">
      <c r="B314" s="24"/>
      <c r="C314" s="24"/>
      <c r="D314" s="24"/>
    </row>
    <row r="315">
      <c r="B315" s="24"/>
      <c r="C315" s="24"/>
      <c r="D315" s="24"/>
    </row>
    <row r="316">
      <c r="B316" s="24"/>
      <c r="C316" s="24"/>
      <c r="D316" s="24"/>
    </row>
    <row r="317">
      <c r="B317" s="24"/>
      <c r="C317" s="24"/>
      <c r="D317" s="24"/>
    </row>
    <row r="318">
      <c r="B318" s="24"/>
      <c r="C318" s="24"/>
      <c r="D318" s="24"/>
    </row>
    <row r="319">
      <c r="B319" s="24"/>
      <c r="C319" s="24"/>
      <c r="D319" s="24"/>
    </row>
    <row r="320">
      <c r="B320" s="24"/>
      <c r="C320" s="24"/>
      <c r="D320" s="24"/>
    </row>
    <row r="321">
      <c r="B321" s="24"/>
      <c r="C321" s="24"/>
      <c r="D321" s="24"/>
    </row>
    <row r="322">
      <c r="B322" s="24"/>
      <c r="C322" s="24"/>
      <c r="D322" s="24"/>
    </row>
    <row r="323">
      <c r="B323" s="24"/>
      <c r="C323" s="24"/>
      <c r="D323" s="24"/>
    </row>
    <row r="324">
      <c r="B324" s="24"/>
      <c r="C324" s="24"/>
      <c r="D324" s="24"/>
    </row>
    <row r="325">
      <c r="B325" s="24"/>
      <c r="C325" s="24"/>
      <c r="D325" s="24"/>
    </row>
    <row r="326">
      <c r="B326" s="24"/>
      <c r="C326" s="24"/>
      <c r="D326" s="24"/>
    </row>
    <row r="327">
      <c r="B327" s="24"/>
      <c r="C327" s="24"/>
      <c r="D327" s="24"/>
    </row>
    <row r="328">
      <c r="B328" s="24"/>
      <c r="C328" s="24"/>
      <c r="D328" s="24"/>
    </row>
    <row r="329">
      <c r="B329" s="24"/>
      <c r="C329" s="24"/>
      <c r="D329" s="24"/>
    </row>
    <row r="330">
      <c r="B330" s="24"/>
      <c r="C330" s="24"/>
      <c r="D330" s="24"/>
    </row>
    <row r="331">
      <c r="B331" s="24"/>
      <c r="C331" s="24"/>
      <c r="D331" s="24"/>
    </row>
    <row r="332">
      <c r="B332" s="24"/>
      <c r="C332" s="24"/>
      <c r="D332" s="24"/>
    </row>
    <row r="333">
      <c r="B333" s="24"/>
      <c r="C333" s="24"/>
      <c r="D333" s="24"/>
    </row>
    <row r="334">
      <c r="B334" s="24"/>
      <c r="C334" s="24"/>
      <c r="D334" s="24"/>
    </row>
    <row r="335">
      <c r="B335" s="24"/>
      <c r="C335" s="24"/>
      <c r="D335" s="24"/>
    </row>
    <row r="336">
      <c r="B336" s="24"/>
      <c r="C336" s="24"/>
      <c r="D336" s="24"/>
    </row>
    <row r="337">
      <c r="B337" s="24"/>
      <c r="C337" s="24"/>
      <c r="D337" s="24"/>
    </row>
    <row r="338">
      <c r="B338" s="24"/>
      <c r="C338" s="24"/>
      <c r="D338" s="24"/>
    </row>
    <row r="339">
      <c r="B339" s="24"/>
      <c r="C339" s="24"/>
      <c r="D339" s="24"/>
    </row>
    <row r="340">
      <c r="B340" s="24"/>
      <c r="C340" s="24"/>
      <c r="D340" s="24"/>
    </row>
    <row r="341">
      <c r="B341" s="24"/>
      <c r="C341" s="24"/>
      <c r="D341" s="24"/>
    </row>
    <row r="342">
      <c r="B342" s="24"/>
      <c r="C342" s="24"/>
      <c r="D342" s="24"/>
    </row>
    <row r="343">
      <c r="B343" s="24"/>
      <c r="C343" s="24"/>
      <c r="D343" s="24"/>
    </row>
    <row r="344">
      <c r="B344" s="24"/>
      <c r="C344" s="24"/>
      <c r="D344" s="24"/>
    </row>
    <row r="345">
      <c r="B345" s="24"/>
      <c r="C345" s="24"/>
      <c r="D345" s="24"/>
    </row>
    <row r="346">
      <c r="B346" s="24"/>
      <c r="C346" s="24"/>
      <c r="D346" s="24"/>
    </row>
    <row r="347">
      <c r="B347" s="24"/>
      <c r="C347" s="24"/>
      <c r="D347" s="24"/>
    </row>
    <row r="348">
      <c r="B348" s="24"/>
      <c r="C348" s="24"/>
      <c r="D348" s="24"/>
    </row>
    <row r="349">
      <c r="B349" s="24"/>
      <c r="C349" s="24"/>
      <c r="D349" s="24"/>
    </row>
    <row r="350">
      <c r="B350" s="24"/>
      <c r="C350" s="24"/>
      <c r="D350" s="24"/>
    </row>
    <row r="351">
      <c r="B351" s="24"/>
      <c r="C351" s="24"/>
      <c r="D351" s="24"/>
    </row>
    <row r="352">
      <c r="B352" s="24"/>
      <c r="C352" s="24"/>
      <c r="D352" s="24"/>
    </row>
    <row r="353">
      <c r="B353" s="24"/>
      <c r="C353" s="24"/>
      <c r="D353" s="24"/>
    </row>
    <row r="354">
      <c r="B354" s="24"/>
      <c r="C354" s="24"/>
      <c r="D354" s="24"/>
    </row>
    <row r="355">
      <c r="B355" s="24"/>
      <c r="C355" s="24"/>
      <c r="D355" s="24"/>
    </row>
    <row r="356">
      <c r="B356" s="24"/>
      <c r="C356" s="24"/>
      <c r="D356" s="24"/>
    </row>
    <row r="357">
      <c r="B357" s="24"/>
      <c r="C357" s="24"/>
      <c r="D357" s="24"/>
    </row>
    <row r="358">
      <c r="B358" s="24"/>
      <c r="C358" s="24"/>
      <c r="D358" s="24"/>
    </row>
    <row r="359">
      <c r="B359" s="24"/>
      <c r="C359" s="24"/>
      <c r="D359" s="24"/>
    </row>
    <row r="360">
      <c r="B360" s="24"/>
      <c r="C360" s="24"/>
      <c r="D360" s="24"/>
    </row>
    <row r="361">
      <c r="B361" s="24"/>
      <c r="C361" s="24"/>
      <c r="D361" s="24"/>
    </row>
    <row r="362">
      <c r="B362" s="24"/>
      <c r="C362" s="24"/>
      <c r="D362" s="24"/>
    </row>
    <row r="363">
      <c r="B363" s="24"/>
      <c r="C363" s="24"/>
      <c r="D363" s="24"/>
    </row>
    <row r="364">
      <c r="B364" s="24"/>
      <c r="C364" s="24"/>
      <c r="D364" s="24"/>
    </row>
    <row r="365">
      <c r="B365" s="24"/>
      <c r="C365" s="24"/>
      <c r="D365" s="24"/>
    </row>
    <row r="366">
      <c r="B366" s="24"/>
      <c r="C366" s="24"/>
      <c r="D366" s="24"/>
    </row>
    <row r="367">
      <c r="B367" s="24"/>
      <c r="C367" s="24"/>
      <c r="D367" s="24"/>
    </row>
    <row r="368">
      <c r="B368" s="24"/>
      <c r="C368" s="24"/>
      <c r="D368" s="24"/>
    </row>
    <row r="369">
      <c r="B369" s="24"/>
      <c r="C369" s="24"/>
      <c r="D369" s="24"/>
    </row>
    <row r="370">
      <c r="B370" s="24"/>
      <c r="C370" s="24"/>
      <c r="D370" s="24"/>
    </row>
    <row r="371">
      <c r="B371" s="24"/>
      <c r="C371" s="24"/>
      <c r="D371" s="24"/>
    </row>
    <row r="372">
      <c r="B372" s="24"/>
      <c r="C372" s="24"/>
      <c r="D372" s="24"/>
    </row>
    <row r="373">
      <c r="B373" s="24"/>
      <c r="C373" s="24"/>
      <c r="D373" s="24"/>
    </row>
    <row r="374">
      <c r="B374" s="24"/>
      <c r="C374" s="24"/>
      <c r="D374" s="24"/>
    </row>
    <row r="375">
      <c r="B375" s="24"/>
      <c r="C375" s="24"/>
      <c r="D375" s="24"/>
    </row>
    <row r="376">
      <c r="B376" s="24"/>
      <c r="C376" s="24"/>
      <c r="D376" s="24"/>
    </row>
    <row r="377">
      <c r="B377" s="24"/>
      <c r="C377" s="24"/>
      <c r="D377" s="24"/>
    </row>
    <row r="378">
      <c r="B378" s="24"/>
      <c r="C378" s="24"/>
      <c r="D378" s="24"/>
    </row>
    <row r="379">
      <c r="B379" s="24"/>
      <c r="C379" s="24"/>
      <c r="D379" s="24"/>
    </row>
    <row r="380">
      <c r="B380" s="24"/>
      <c r="C380" s="24"/>
      <c r="D380" s="24"/>
    </row>
    <row r="381">
      <c r="B381" s="24"/>
      <c r="C381" s="24"/>
      <c r="D381" s="24"/>
    </row>
    <row r="382">
      <c r="B382" s="24"/>
      <c r="C382" s="24"/>
      <c r="D382" s="24"/>
    </row>
    <row r="383">
      <c r="B383" s="24"/>
      <c r="C383" s="24"/>
      <c r="D383" s="24"/>
    </row>
    <row r="384">
      <c r="B384" s="24"/>
      <c r="C384" s="24"/>
      <c r="D384" s="24"/>
    </row>
    <row r="385">
      <c r="B385" s="24"/>
      <c r="C385" s="24"/>
      <c r="D385" s="24"/>
    </row>
    <row r="386">
      <c r="B386" s="24"/>
      <c r="C386" s="24"/>
      <c r="D386" s="24"/>
    </row>
    <row r="387">
      <c r="B387" s="24"/>
      <c r="C387" s="24"/>
      <c r="D387" s="24"/>
    </row>
    <row r="388">
      <c r="B388" s="24"/>
      <c r="C388" s="24"/>
      <c r="D388" s="24"/>
    </row>
    <row r="389">
      <c r="B389" s="24"/>
      <c r="C389" s="24"/>
      <c r="D389" s="24"/>
    </row>
    <row r="390">
      <c r="B390" s="24"/>
      <c r="C390" s="24"/>
      <c r="D390" s="24"/>
    </row>
    <row r="391">
      <c r="B391" s="24"/>
      <c r="C391" s="24"/>
      <c r="D391" s="24"/>
    </row>
    <row r="392">
      <c r="B392" s="24"/>
      <c r="C392" s="24"/>
      <c r="D392" s="24"/>
    </row>
    <row r="393">
      <c r="B393" s="24"/>
      <c r="C393" s="24"/>
      <c r="D393" s="24"/>
    </row>
    <row r="394">
      <c r="B394" s="24"/>
      <c r="C394" s="24"/>
      <c r="D394" s="24"/>
    </row>
    <row r="395">
      <c r="B395" s="24"/>
      <c r="C395" s="24"/>
      <c r="D395" s="24"/>
    </row>
    <row r="396">
      <c r="B396" s="24"/>
      <c r="C396" s="24"/>
      <c r="D396" s="24"/>
    </row>
    <row r="397">
      <c r="B397" s="24"/>
      <c r="C397" s="24"/>
      <c r="D397" s="24"/>
    </row>
    <row r="398">
      <c r="B398" s="24"/>
      <c r="C398" s="24"/>
      <c r="D398" s="24"/>
    </row>
    <row r="399">
      <c r="B399" s="24"/>
      <c r="C399" s="24"/>
      <c r="D399" s="24"/>
    </row>
    <row r="400">
      <c r="B400" s="24"/>
      <c r="C400" s="24"/>
      <c r="D400" s="24"/>
    </row>
    <row r="401">
      <c r="B401" s="24"/>
      <c r="C401" s="24"/>
      <c r="D401" s="24"/>
    </row>
    <row r="402">
      <c r="B402" s="24"/>
      <c r="C402" s="24"/>
      <c r="D402" s="24"/>
    </row>
    <row r="403">
      <c r="B403" s="24"/>
      <c r="C403" s="24"/>
      <c r="D403" s="24"/>
    </row>
    <row r="404">
      <c r="B404" s="24"/>
      <c r="C404" s="24"/>
      <c r="D404" s="24"/>
    </row>
    <row r="405">
      <c r="B405" s="24"/>
      <c r="C405" s="24"/>
      <c r="D405" s="24"/>
    </row>
    <row r="406">
      <c r="B406" s="24"/>
      <c r="C406" s="24"/>
      <c r="D406" s="24"/>
    </row>
    <row r="407">
      <c r="B407" s="24"/>
      <c r="C407" s="24"/>
      <c r="D407" s="24"/>
    </row>
    <row r="408">
      <c r="B408" s="24"/>
      <c r="C408" s="24"/>
      <c r="D408" s="24"/>
    </row>
    <row r="409">
      <c r="B409" s="24"/>
      <c r="C409" s="24"/>
      <c r="D409" s="24"/>
    </row>
    <row r="410">
      <c r="B410" s="24"/>
      <c r="C410" s="24"/>
      <c r="D410" s="24"/>
    </row>
    <row r="411">
      <c r="B411" s="24"/>
      <c r="C411" s="24"/>
      <c r="D411" s="24"/>
    </row>
    <row r="412">
      <c r="B412" s="24"/>
      <c r="C412" s="24"/>
      <c r="D412" s="24"/>
    </row>
    <row r="413">
      <c r="B413" s="24"/>
      <c r="C413" s="24"/>
      <c r="D413" s="24"/>
    </row>
    <row r="414">
      <c r="B414" s="24"/>
      <c r="C414" s="24"/>
      <c r="D414" s="24"/>
    </row>
    <row r="415">
      <c r="B415" s="24"/>
      <c r="C415" s="24"/>
      <c r="D415" s="24"/>
    </row>
    <row r="416">
      <c r="B416" s="24"/>
      <c r="C416" s="24"/>
      <c r="D416" s="24"/>
    </row>
    <row r="417">
      <c r="B417" s="24"/>
      <c r="C417" s="24"/>
      <c r="D417" s="24"/>
    </row>
    <row r="418">
      <c r="B418" s="24"/>
      <c r="C418" s="24"/>
      <c r="D418" s="24"/>
    </row>
    <row r="419">
      <c r="B419" s="24"/>
      <c r="C419" s="24"/>
      <c r="D419" s="24"/>
    </row>
    <row r="420">
      <c r="B420" s="24"/>
      <c r="C420" s="24"/>
      <c r="D420" s="24"/>
    </row>
    <row r="421">
      <c r="B421" s="24"/>
      <c r="C421" s="24"/>
      <c r="D421" s="24"/>
    </row>
    <row r="422">
      <c r="B422" s="24"/>
      <c r="C422" s="24"/>
      <c r="D422" s="24"/>
    </row>
    <row r="423">
      <c r="B423" s="24"/>
      <c r="C423" s="24"/>
      <c r="D423" s="24"/>
    </row>
    <row r="424">
      <c r="B424" s="24"/>
      <c r="C424" s="24"/>
      <c r="D424" s="24"/>
    </row>
    <row r="425">
      <c r="B425" s="24"/>
      <c r="C425" s="24"/>
      <c r="D425" s="24"/>
    </row>
    <row r="426">
      <c r="B426" s="24"/>
      <c r="C426" s="24"/>
      <c r="D426" s="24"/>
    </row>
    <row r="427">
      <c r="B427" s="24"/>
      <c r="C427" s="24"/>
      <c r="D427" s="24"/>
    </row>
    <row r="428">
      <c r="B428" s="24"/>
      <c r="C428" s="24"/>
      <c r="D428" s="24"/>
    </row>
    <row r="429">
      <c r="B429" s="24"/>
      <c r="C429" s="24"/>
      <c r="D429" s="24"/>
    </row>
    <row r="430">
      <c r="B430" s="24"/>
      <c r="C430" s="24"/>
      <c r="D430" s="24"/>
    </row>
    <row r="431">
      <c r="B431" s="24"/>
      <c r="C431" s="24"/>
      <c r="D431" s="24"/>
    </row>
    <row r="432">
      <c r="B432" s="24"/>
      <c r="C432" s="24"/>
      <c r="D432" s="24"/>
    </row>
    <row r="433">
      <c r="B433" s="24"/>
      <c r="C433" s="24"/>
      <c r="D433" s="24"/>
    </row>
    <row r="434">
      <c r="B434" s="24"/>
      <c r="C434" s="24"/>
      <c r="D434" s="24"/>
    </row>
    <row r="435">
      <c r="B435" s="24"/>
      <c r="C435" s="24"/>
      <c r="D435" s="24"/>
    </row>
    <row r="436">
      <c r="B436" s="24"/>
      <c r="C436" s="24"/>
      <c r="D436" s="24"/>
    </row>
    <row r="437">
      <c r="B437" s="24"/>
      <c r="C437" s="24"/>
      <c r="D437" s="24"/>
    </row>
    <row r="438">
      <c r="B438" s="24"/>
      <c r="C438" s="24"/>
      <c r="D438" s="24"/>
    </row>
    <row r="439">
      <c r="B439" s="24"/>
      <c r="C439" s="24"/>
      <c r="D439" s="24"/>
    </row>
    <row r="440">
      <c r="B440" s="24"/>
      <c r="C440" s="24"/>
      <c r="D440" s="24"/>
    </row>
    <row r="441">
      <c r="B441" s="24"/>
      <c r="C441" s="24"/>
      <c r="D441" s="24"/>
    </row>
    <row r="442">
      <c r="B442" s="24"/>
      <c r="C442" s="24"/>
      <c r="D442" s="24"/>
    </row>
    <row r="443">
      <c r="B443" s="24"/>
      <c r="C443" s="24"/>
      <c r="D443" s="24"/>
    </row>
    <row r="444">
      <c r="B444" s="24"/>
      <c r="C444" s="24"/>
      <c r="D444" s="24"/>
    </row>
    <row r="445">
      <c r="B445" s="24"/>
      <c r="C445" s="24"/>
      <c r="D445" s="24"/>
    </row>
    <row r="446">
      <c r="B446" s="24"/>
      <c r="C446" s="24"/>
      <c r="D446" s="24"/>
    </row>
    <row r="447">
      <c r="B447" s="24"/>
      <c r="C447" s="24"/>
      <c r="D447" s="24"/>
    </row>
    <row r="448">
      <c r="B448" s="24"/>
      <c r="C448" s="24"/>
      <c r="D448" s="24"/>
    </row>
    <row r="449">
      <c r="B449" s="24"/>
      <c r="C449" s="24"/>
      <c r="D449" s="24"/>
    </row>
    <row r="450">
      <c r="B450" s="24"/>
      <c r="C450" s="24"/>
      <c r="D450" s="24"/>
    </row>
    <row r="451">
      <c r="B451" s="24"/>
      <c r="C451" s="24"/>
      <c r="D451" s="24"/>
    </row>
    <row r="452">
      <c r="B452" s="24"/>
      <c r="C452" s="24"/>
      <c r="D452" s="24"/>
    </row>
    <row r="453">
      <c r="B453" s="24"/>
      <c r="C453" s="24"/>
      <c r="D453" s="24"/>
    </row>
    <row r="454">
      <c r="B454" s="24"/>
      <c r="C454" s="24"/>
      <c r="D454" s="24"/>
    </row>
    <row r="455">
      <c r="B455" s="24"/>
      <c r="C455" s="24"/>
      <c r="D455" s="24"/>
    </row>
    <row r="456">
      <c r="B456" s="24"/>
      <c r="C456" s="24"/>
      <c r="D456" s="24"/>
    </row>
    <row r="457">
      <c r="B457" s="24"/>
      <c r="C457" s="24"/>
      <c r="D457" s="24"/>
    </row>
    <row r="458">
      <c r="B458" s="24"/>
      <c r="C458" s="24"/>
      <c r="D458" s="24"/>
    </row>
    <row r="459">
      <c r="B459" s="24"/>
      <c r="C459" s="24"/>
      <c r="D459" s="24"/>
    </row>
    <row r="460">
      <c r="B460" s="24"/>
      <c r="C460" s="24"/>
      <c r="D460" s="24"/>
    </row>
    <row r="461">
      <c r="B461" s="24"/>
      <c r="C461" s="24"/>
      <c r="D461" s="24"/>
    </row>
    <row r="462">
      <c r="B462" s="24"/>
      <c r="C462" s="24"/>
      <c r="D462" s="24"/>
    </row>
    <row r="463">
      <c r="B463" s="24"/>
      <c r="C463" s="24"/>
      <c r="D463" s="24"/>
    </row>
    <row r="464">
      <c r="B464" s="24"/>
      <c r="C464" s="24"/>
      <c r="D464" s="24"/>
    </row>
    <row r="465">
      <c r="B465" s="24"/>
      <c r="C465" s="24"/>
      <c r="D465" s="24"/>
    </row>
    <row r="466">
      <c r="B466" s="24"/>
      <c r="C466" s="24"/>
      <c r="D466" s="24"/>
    </row>
    <row r="467">
      <c r="B467" s="24"/>
      <c r="C467" s="24"/>
      <c r="D467" s="24"/>
    </row>
    <row r="468">
      <c r="B468" s="24"/>
      <c r="C468" s="24"/>
      <c r="D468" s="24"/>
    </row>
    <row r="469">
      <c r="B469" s="24"/>
      <c r="C469" s="24"/>
      <c r="D469" s="24"/>
    </row>
    <row r="470">
      <c r="B470" s="24"/>
      <c r="C470" s="24"/>
      <c r="D470" s="24"/>
    </row>
    <row r="471">
      <c r="B471" s="24"/>
      <c r="C471" s="24"/>
      <c r="D471" s="24"/>
    </row>
    <row r="472">
      <c r="B472" s="24"/>
      <c r="C472" s="24"/>
      <c r="D472" s="24"/>
    </row>
    <row r="473">
      <c r="B473" s="24"/>
      <c r="C473" s="24"/>
      <c r="D473" s="24"/>
    </row>
    <row r="474">
      <c r="B474" s="24"/>
      <c r="C474" s="24"/>
      <c r="D474" s="24"/>
    </row>
    <row r="475">
      <c r="B475" s="24"/>
      <c r="C475" s="24"/>
      <c r="D475" s="24"/>
    </row>
    <row r="476">
      <c r="B476" s="24"/>
      <c r="C476" s="24"/>
      <c r="D476" s="24"/>
    </row>
    <row r="477">
      <c r="B477" s="24"/>
      <c r="C477" s="24"/>
      <c r="D477" s="24"/>
    </row>
    <row r="478">
      <c r="B478" s="24"/>
      <c r="C478" s="24"/>
      <c r="D478" s="24"/>
    </row>
    <row r="479">
      <c r="B479" s="24"/>
      <c r="C479" s="24"/>
      <c r="D479" s="24"/>
    </row>
    <row r="480">
      <c r="B480" s="24"/>
      <c r="C480" s="24"/>
      <c r="D480" s="24"/>
    </row>
    <row r="481">
      <c r="B481" s="24"/>
      <c r="C481" s="24"/>
      <c r="D481" s="24"/>
    </row>
    <row r="482">
      <c r="B482" s="24"/>
      <c r="C482" s="24"/>
      <c r="D482" s="24"/>
    </row>
    <row r="483">
      <c r="B483" s="24"/>
      <c r="C483" s="24"/>
      <c r="D483" s="24"/>
    </row>
    <row r="484">
      <c r="B484" s="24"/>
      <c r="C484" s="24"/>
      <c r="D484" s="24"/>
    </row>
    <row r="485">
      <c r="B485" s="24"/>
      <c r="C485" s="24"/>
      <c r="D485" s="24"/>
    </row>
    <row r="486">
      <c r="B486" s="24"/>
      <c r="C486" s="24"/>
      <c r="D486" s="24"/>
    </row>
    <row r="487">
      <c r="B487" s="24"/>
      <c r="C487" s="24"/>
      <c r="D487" s="24"/>
    </row>
    <row r="488">
      <c r="B488" s="24"/>
      <c r="C488" s="24"/>
      <c r="D488" s="24"/>
    </row>
    <row r="489">
      <c r="B489" s="24"/>
      <c r="C489" s="24"/>
      <c r="D489" s="24"/>
    </row>
    <row r="490">
      <c r="B490" s="24"/>
      <c r="C490" s="24"/>
      <c r="D490" s="24"/>
    </row>
    <row r="491">
      <c r="B491" s="24"/>
      <c r="C491" s="24"/>
      <c r="D491" s="24"/>
    </row>
    <row r="492">
      <c r="B492" s="24"/>
      <c r="C492" s="24"/>
      <c r="D492" s="24"/>
    </row>
    <row r="493">
      <c r="B493" s="24"/>
      <c r="C493" s="24"/>
      <c r="D493" s="24"/>
    </row>
    <row r="494">
      <c r="B494" s="24"/>
      <c r="C494" s="24"/>
      <c r="D494" s="24"/>
    </row>
    <row r="495">
      <c r="B495" s="24"/>
      <c r="C495" s="24"/>
      <c r="D495" s="24"/>
    </row>
    <row r="496">
      <c r="B496" s="24"/>
      <c r="C496" s="24"/>
      <c r="D496" s="24"/>
    </row>
    <row r="497">
      <c r="B497" s="24"/>
      <c r="C497" s="24"/>
      <c r="D497" s="24"/>
    </row>
    <row r="498">
      <c r="B498" s="24"/>
      <c r="C498" s="24"/>
      <c r="D498" s="24"/>
    </row>
    <row r="499">
      <c r="B499" s="24"/>
      <c r="C499" s="24"/>
      <c r="D499" s="24"/>
    </row>
    <row r="500">
      <c r="B500" s="24"/>
      <c r="C500" s="24"/>
      <c r="D500" s="24"/>
    </row>
    <row r="501">
      <c r="B501" s="24"/>
      <c r="C501" s="24"/>
      <c r="D501" s="24"/>
    </row>
    <row r="502">
      <c r="B502" s="24"/>
      <c r="C502" s="24"/>
      <c r="D502" s="24"/>
    </row>
    <row r="503">
      <c r="B503" s="24"/>
      <c r="C503" s="24"/>
      <c r="D503" s="24"/>
    </row>
    <row r="504">
      <c r="B504" s="24"/>
      <c r="C504" s="24"/>
      <c r="D504" s="24"/>
    </row>
    <row r="505">
      <c r="B505" s="24"/>
      <c r="C505" s="24"/>
      <c r="D505" s="24"/>
    </row>
    <row r="506">
      <c r="B506" s="24"/>
      <c r="C506" s="24"/>
      <c r="D506" s="24"/>
    </row>
    <row r="507">
      <c r="B507" s="24"/>
      <c r="C507" s="24"/>
      <c r="D507" s="24"/>
    </row>
    <row r="508">
      <c r="B508" s="24"/>
      <c r="C508" s="24"/>
      <c r="D508" s="24"/>
    </row>
    <row r="509">
      <c r="B509" s="24"/>
      <c r="C509" s="24"/>
      <c r="D509" s="24"/>
    </row>
    <row r="510">
      <c r="B510" s="24"/>
      <c r="C510" s="24"/>
      <c r="D510" s="24"/>
    </row>
    <row r="511">
      <c r="B511" s="24"/>
      <c r="C511" s="24"/>
      <c r="D511" s="24"/>
    </row>
    <row r="512">
      <c r="B512" s="24"/>
      <c r="C512" s="24"/>
      <c r="D512" s="24"/>
    </row>
    <row r="513">
      <c r="B513" s="24"/>
      <c r="C513" s="24"/>
      <c r="D513" s="24"/>
    </row>
    <row r="514">
      <c r="B514" s="24"/>
      <c r="C514" s="24"/>
      <c r="D514" s="24"/>
    </row>
    <row r="515">
      <c r="B515" s="24"/>
      <c r="C515" s="24"/>
      <c r="D515" s="24"/>
    </row>
    <row r="516">
      <c r="B516" s="24"/>
      <c r="C516" s="24"/>
      <c r="D516" s="24"/>
    </row>
    <row r="517">
      <c r="B517" s="24"/>
      <c r="C517" s="24"/>
      <c r="D517" s="24"/>
    </row>
    <row r="518">
      <c r="B518" s="24"/>
      <c r="C518" s="24"/>
      <c r="D518" s="24"/>
    </row>
    <row r="519">
      <c r="B519" s="24"/>
      <c r="C519" s="24"/>
      <c r="D519" s="24"/>
    </row>
    <row r="520">
      <c r="B520" s="24"/>
      <c r="C520" s="24"/>
      <c r="D520" s="24"/>
    </row>
    <row r="521">
      <c r="B521" s="24"/>
      <c r="C521" s="24"/>
      <c r="D521" s="24"/>
    </row>
    <row r="522">
      <c r="B522" s="24"/>
      <c r="C522" s="24"/>
      <c r="D522" s="24"/>
    </row>
    <row r="523">
      <c r="B523" s="24"/>
      <c r="C523" s="24"/>
      <c r="D523" s="24"/>
    </row>
    <row r="524">
      <c r="B524" s="24"/>
      <c r="C524" s="24"/>
      <c r="D524" s="24"/>
    </row>
    <row r="525">
      <c r="B525" s="24"/>
      <c r="C525" s="24"/>
      <c r="D525" s="24"/>
    </row>
    <row r="526">
      <c r="B526" s="24"/>
      <c r="C526" s="24"/>
      <c r="D526" s="24"/>
    </row>
    <row r="527">
      <c r="B527" s="24"/>
      <c r="C527" s="24"/>
      <c r="D527" s="24"/>
    </row>
    <row r="528">
      <c r="B528" s="24"/>
      <c r="C528" s="24"/>
      <c r="D528" s="24"/>
    </row>
    <row r="529">
      <c r="B529" s="24"/>
      <c r="C529" s="24"/>
      <c r="D529" s="24"/>
    </row>
    <row r="530">
      <c r="B530" s="24"/>
      <c r="C530" s="24"/>
      <c r="D530" s="24"/>
    </row>
    <row r="531">
      <c r="B531" s="24"/>
      <c r="C531" s="24"/>
      <c r="D531" s="24"/>
    </row>
    <row r="532">
      <c r="B532" s="24"/>
      <c r="C532" s="24"/>
      <c r="D532" s="24"/>
    </row>
    <row r="533">
      <c r="B533" s="24"/>
      <c r="C533" s="24"/>
      <c r="D533" s="24"/>
    </row>
    <row r="534">
      <c r="B534" s="24"/>
      <c r="C534" s="24"/>
      <c r="D534" s="24"/>
    </row>
    <row r="535">
      <c r="B535" s="24"/>
      <c r="C535" s="24"/>
      <c r="D535" s="24"/>
    </row>
    <row r="536">
      <c r="B536" s="24"/>
      <c r="C536" s="24"/>
      <c r="D536" s="24"/>
    </row>
    <row r="537">
      <c r="B537" s="24"/>
      <c r="C537" s="24"/>
      <c r="D537" s="24"/>
    </row>
    <row r="538">
      <c r="B538" s="24"/>
      <c r="C538" s="24"/>
      <c r="D538" s="24"/>
    </row>
    <row r="539">
      <c r="B539" s="24"/>
      <c r="C539" s="24"/>
      <c r="D539" s="24"/>
    </row>
    <row r="540">
      <c r="B540" s="24"/>
      <c r="C540" s="24"/>
      <c r="D540" s="24"/>
    </row>
    <row r="541">
      <c r="B541" s="24"/>
      <c r="C541" s="24"/>
      <c r="D541" s="24"/>
    </row>
    <row r="542">
      <c r="B542" s="24"/>
      <c r="C542" s="24"/>
      <c r="D542" s="24"/>
    </row>
    <row r="543">
      <c r="B543" s="24"/>
      <c r="C543" s="24"/>
      <c r="D543" s="24"/>
    </row>
    <row r="544">
      <c r="B544" s="24"/>
      <c r="C544" s="24"/>
      <c r="D544" s="24"/>
    </row>
    <row r="545">
      <c r="B545" s="24"/>
      <c r="C545" s="24"/>
      <c r="D545" s="24"/>
    </row>
    <row r="546">
      <c r="B546" s="24"/>
      <c r="C546" s="24"/>
      <c r="D546" s="24"/>
    </row>
    <row r="547">
      <c r="B547" s="24"/>
      <c r="C547" s="24"/>
      <c r="D547" s="24"/>
    </row>
    <row r="548">
      <c r="B548" s="24"/>
      <c r="C548" s="24"/>
      <c r="D548" s="24"/>
    </row>
    <row r="549">
      <c r="B549" s="24"/>
      <c r="C549" s="24"/>
      <c r="D549" s="24"/>
    </row>
    <row r="550">
      <c r="B550" s="24"/>
      <c r="C550" s="24"/>
      <c r="D550" s="24"/>
    </row>
    <row r="551">
      <c r="B551" s="24"/>
      <c r="C551" s="24"/>
      <c r="D551" s="24"/>
    </row>
    <row r="552">
      <c r="B552" s="24"/>
      <c r="C552" s="24"/>
      <c r="D552" s="24"/>
    </row>
    <row r="553">
      <c r="B553" s="24"/>
      <c r="C553" s="24"/>
      <c r="D553" s="24"/>
    </row>
    <row r="554">
      <c r="B554" s="24"/>
      <c r="C554" s="24"/>
      <c r="D554" s="24"/>
    </row>
    <row r="555">
      <c r="B555" s="24"/>
      <c r="C555" s="24"/>
      <c r="D555" s="24"/>
    </row>
    <row r="556">
      <c r="B556" s="24"/>
      <c r="C556" s="24"/>
      <c r="D556" s="24"/>
    </row>
    <row r="557">
      <c r="B557" s="24"/>
      <c r="C557" s="24"/>
      <c r="D557" s="24"/>
    </row>
    <row r="558">
      <c r="B558" s="24"/>
      <c r="C558" s="24"/>
      <c r="D558" s="24"/>
    </row>
    <row r="559">
      <c r="B559" s="24"/>
      <c r="C559" s="24"/>
      <c r="D559" s="24"/>
    </row>
    <row r="560">
      <c r="B560" s="24"/>
      <c r="C560" s="24"/>
      <c r="D560" s="24"/>
    </row>
    <row r="561">
      <c r="B561" s="24"/>
      <c r="C561" s="24"/>
      <c r="D561" s="24"/>
    </row>
    <row r="562">
      <c r="B562" s="24"/>
      <c r="C562" s="24"/>
      <c r="D562" s="24"/>
    </row>
    <row r="563">
      <c r="B563" s="24"/>
      <c r="C563" s="24"/>
      <c r="D563" s="24"/>
    </row>
    <row r="564">
      <c r="B564" s="24"/>
      <c r="C564" s="24"/>
      <c r="D564" s="24"/>
    </row>
    <row r="565">
      <c r="B565" s="24"/>
      <c r="C565" s="24"/>
      <c r="D565" s="24"/>
    </row>
    <row r="566">
      <c r="B566" s="24"/>
      <c r="C566" s="24"/>
      <c r="D566" s="24"/>
    </row>
    <row r="567">
      <c r="B567" s="24"/>
      <c r="C567" s="24"/>
      <c r="D567" s="24"/>
    </row>
    <row r="568">
      <c r="B568" s="24"/>
      <c r="C568" s="24"/>
      <c r="D568" s="24"/>
    </row>
    <row r="569">
      <c r="B569" s="24"/>
      <c r="C569" s="24"/>
      <c r="D569" s="24"/>
    </row>
    <row r="570">
      <c r="B570" s="24"/>
      <c r="C570" s="24"/>
      <c r="D570" s="24"/>
    </row>
    <row r="571">
      <c r="B571" s="24"/>
      <c r="C571" s="24"/>
      <c r="D571" s="24"/>
    </row>
    <row r="572">
      <c r="B572" s="24"/>
      <c r="C572" s="24"/>
      <c r="D572" s="24"/>
    </row>
    <row r="573">
      <c r="B573" s="24"/>
      <c r="C573" s="24"/>
      <c r="D573" s="24"/>
    </row>
    <row r="574">
      <c r="B574" s="24"/>
      <c r="C574" s="24"/>
      <c r="D574" s="24"/>
    </row>
    <row r="575">
      <c r="B575" s="24"/>
      <c r="C575" s="24"/>
      <c r="D575" s="24"/>
    </row>
    <row r="576">
      <c r="B576" s="24"/>
      <c r="C576" s="24"/>
      <c r="D576" s="24"/>
    </row>
    <row r="577">
      <c r="B577" s="24"/>
      <c r="C577" s="24"/>
      <c r="D577" s="24"/>
    </row>
    <row r="578">
      <c r="B578" s="24"/>
      <c r="C578" s="24"/>
      <c r="D578" s="24"/>
    </row>
    <row r="579">
      <c r="B579" s="24"/>
      <c r="C579" s="24"/>
      <c r="D579" s="24"/>
    </row>
    <row r="580">
      <c r="B580" s="24"/>
      <c r="C580" s="24"/>
      <c r="D580" s="24"/>
    </row>
    <row r="581">
      <c r="B581" s="24"/>
      <c r="C581" s="24"/>
      <c r="D581" s="24"/>
    </row>
    <row r="582">
      <c r="B582" s="24"/>
      <c r="C582" s="24"/>
      <c r="D582" s="24"/>
    </row>
    <row r="583">
      <c r="B583" s="24"/>
      <c r="C583" s="24"/>
      <c r="D583" s="24"/>
    </row>
    <row r="584">
      <c r="B584" s="24"/>
      <c r="C584" s="24"/>
      <c r="D584" s="24"/>
    </row>
    <row r="585">
      <c r="B585" s="24"/>
      <c r="C585" s="24"/>
      <c r="D585" s="24"/>
    </row>
    <row r="586">
      <c r="B586" s="24"/>
      <c r="C586" s="24"/>
      <c r="D586" s="24"/>
    </row>
    <row r="587">
      <c r="B587" s="24"/>
      <c r="C587" s="24"/>
      <c r="D587" s="24"/>
    </row>
    <row r="588">
      <c r="B588" s="24"/>
      <c r="C588" s="24"/>
      <c r="D588" s="24"/>
    </row>
    <row r="589">
      <c r="B589" s="24"/>
      <c r="C589" s="24"/>
      <c r="D589" s="24"/>
    </row>
    <row r="590">
      <c r="B590" s="24"/>
      <c r="C590" s="24"/>
      <c r="D590" s="24"/>
    </row>
    <row r="591">
      <c r="B591" s="24"/>
      <c r="C591" s="24"/>
      <c r="D591" s="24"/>
    </row>
    <row r="592">
      <c r="B592" s="24"/>
      <c r="C592" s="24"/>
      <c r="D592" s="24"/>
    </row>
    <row r="593">
      <c r="B593" s="24"/>
      <c r="C593" s="24"/>
      <c r="D593" s="24"/>
    </row>
    <row r="594">
      <c r="B594" s="24"/>
      <c r="C594" s="24"/>
      <c r="D594" s="24"/>
    </row>
    <row r="595">
      <c r="B595" s="24"/>
      <c r="C595" s="24"/>
      <c r="D595" s="24"/>
    </row>
    <row r="596">
      <c r="B596" s="24"/>
      <c r="C596" s="24"/>
      <c r="D596" s="24"/>
    </row>
    <row r="597">
      <c r="B597" s="24"/>
      <c r="C597" s="24"/>
      <c r="D597" s="24"/>
    </row>
    <row r="598">
      <c r="B598" s="24"/>
      <c r="C598" s="24"/>
      <c r="D598" s="24"/>
    </row>
    <row r="599">
      <c r="B599" s="24"/>
      <c r="C599" s="24"/>
      <c r="D599" s="24"/>
    </row>
    <row r="600">
      <c r="B600" s="24"/>
      <c r="C600" s="24"/>
      <c r="D600" s="24"/>
    </row>
    <row r="601">
      <c r="B601" s="24"/>
      <c r="C601" s="24"/>
      <c r="D601" s="24"/>
    </row>
    <row r="602">
      <c r="B602" s="24"/>
      <c r="C602" s="24"/>
      <c r="D602" s="24"/>
    </row>
    <row r="603">
      <c r="B603" s="24"/>
      <c r="C603" s="24"/>
      <c r="D603" s="24"/>
    </row>
    <row r="604">
      <c r="B604" s="24"/>
      <c r="C604" s="24"/>
      <c r="D604" s="24"/>
    </row>
    <row r="605">
      <c r="B605" s="24"/>
      <c r="C605" s="24"/>
      <c r="D605" s="24"/>
    </row>
    <row r="606">
      <c r="B606" s="24"/>
      <c r="C606" s="24"/>
      <c r="D606" s="24"/>
    </row>
    <row r="607">
      <c r="B607" s="24"/>
      <c r="C607" s="24"/>
      <c r="D607" s="24"/>
    </row>
    <row r="608">
      <c r="B608" s="24"/>
      <c r="C608" s="24"/>
      <c r="D608" s="24"/>
    </row>
    <row r="609">
      <c r="B609" s="24"/>
      <c r="C609" s="24"/>
      <c r="D609" s="24"/>
    </row>
    <row r="610">
      <c r="B610" s="24"/>
      <c r="C610" s="24"/>
      <c r="D610" s="24"/>
    </row>
    <row r="611">
      <c r="B611" s="24"/>
      <c r="C611" s="24"/>
      <c r="D611" s="24"/>
    </row>
    <row r="612">
      <c r="B612" s="24"/>
      <c r="C612" s="24"/>
      <c r="D612" s="24"/>
    </row>
    <row r="613">
      <c r="B613" s="24"/>
      <c r="C613" s="24"/>
      <c r="D613" s="24"/>
    </row>
    <row r="614">
      <c r="B614" s="24"/>
      <c r="C614" s="24"/>
      <c r="D614" s="24"/>
    </row>
    <row r="615">
      <c r="B615" s="24"/>
      <c r="C615" s="24"/>
      <c r="D615" s="24"/>
    </row>
    <row r="616">
      <c r="B616" s="24"/>
      <c r="C616" s="24"/>
      <c r="D616" s="24"/>
    </row>
    <row r="617">
      <c r="B617" s="24"/>
      <c r="C617" s="24"/>
      <c r="D617" s="24"/>
    </row>
    <row r="618">
      <c r="B618" s="24"/>
      <c r="C618" s="24"/>
      <c r="D618" s="24"/>
    </row>
    <row r="619">
      <c r="B619" s="24"/>
      <c r="C619" s="24"/>
      <c r="D619" s="24"/>
    </row>
    <row r="620">
      <c r="B620" s="24"/>
      <c r="C620" s="24"/>
      <c r="D620" s="24"/>
    </row>
    <row r="621">
      <c r="B621" s="24"/>
      <c r="C621" s="24"/>
      <c r="D621" s="24"/>
    </row>
    <row r="622">
      <c r="B622" s="24"/>
      <c r="C622" s="24"/>
      <c r="D622" s="24"/>
    </row>
    <row r="623">
      <c r="B623" s="24"/>
      <c r="C623" s="24"/>
      <c r="D623" s="24"/>
    </row>
    <row r="624">
      <c r="B624" s="24"/>
      <c r="C624" s="24"/>
      <c r="D624" s="24"/>
    </row>
    <row r="625">
      <c r="B625" s="24"/>
      <c r="C625" s="24"/>
      <c r="D625" s="24"/>
    </row>
    <row r="626">
      <c r="B626" s="24"/>
      <c r="C626" s="24"/>
      <c r="D626" s="24"/>
    </row>
    <row r="627">
      <c r="B627" s="24"/>
      <c r="C627" s="24"/>
      <c r="D627" s="24"/>
    </row>
    <row r="628">
      <c r="B628" s="24"/>
      <c r="C628" s="24"/>
      <c r="D628" s="24"/>
    </row>
    <row r="629">
      <c r="B629" s="24"/>
      <c r="C629" s="24"/>
      <c r="D629" s="24"/>
    </row>
    <row r="630">
      <c r="B630" s="24"/>
      <c r="C630" s="24"/>
      <c r="D630" s="24"/>
    </row>
    <row r="631">
      <c r="B631" s="24"/>
      <c r="C631" s="24"/>
      <c r="D631" s="24"/>
    </row>
    <row r="632">
      <c r="B632" s="24"/>
      <c r="C632" s="24"/>
      <c r="D632" s="24"/>
    </row>
    <row r="633">
      <c r="B633" s="24"/>
      <c r="C633" s="24"/>
      <c r="D633" s="24"/>
    </row>
    <row r="634">
      <c r="B634" s="24"/>
      <c r="C634" s="24"/>
      <c r="D634" s="24"/>
    </row>
    <row r="635">
      <c r="B635" s="24"/>
      <c r="C635" s="24"/>
      <c r="D635" s="24"/>
    </row>
    <row r="636">
      <c r="B636" s="24"/>
      <c r="C636" s="24"/>
      <c r="D636" s="24"/>
    </row>
    <row r="637">
      <c r="B637" s="24"/>
      <c r="C637" s="24"/>
      <c r="D637" s="24"/>
    </row>
    <row r="638">
      <c r="B638" s="24"/>
      <c r="C638" s="24"/>
      <c r="D638" s="24"/>
    </row>
    <row r="639">
      <c r="B639" s="24"/>
      <c r="C639" s="24"/>
      <c r="D639" s="24"/>
    </row>
    <row r="640">
      <c r="B640" s="24"/>
      <c r="C640" s="24"/>
      <c r="D640" s="24"/>
    </row>
    <row r="641">
      <c r="B641" s="24"/>
      <c r="C641" s="24"/>
      <c r="D641" s="24"/>
    </row>
    <row r="642">
      <c r="B642" s="24"/>
      <c r="C642" s="24"/>
      <c r="D642" s="24"/>
    </row>
    <row r="643">
      <c r="B643" s="24"/>
      <c r="C643" s="24"/>
      <c r="D643" s="24"/>
    </row>
    <row r="644">
      <c r="B644" s="24"/>
      <c r="C644" s="24"/>
      <c r="D644" s="24"/>
    </row>
    <row r="645">
      <c r="B645" s="24"/>
      <c r="C645" s="24"/>
      <c r="D645" s="24"/>
    </row>
    <row r="646">
      <c r="B646" s="24"/>
      <c r="C646" s="24"/>
      <c r="D646" s="24"/>
    </row>
    <row r="647">
      <c r="B647" s="24"/>
      <c r="C647" s="24"/>
      <c r="D647" s="24"/>
    </row>
    <row r="648">
      <c r="B648" s="24"/>
      <c r="C648" s="24"/>
      <c r="D648" s="24"/>
    </row>
    <row r="649">
      <c r="B649" s="24"/>
      <c r="C649" s="24"/>
      <c r="D649" s="24"/>
    </row>
    <row r="650">
      <c r="B650" s="24"/>
      <c r="C650" s="24"/>
      <c r="D650" s="24"/>
    </row>
    <row r="651">
      <c r="B651" s="24"/>
      <c r="C651" s="24"/>
      <c r="D651" s="24"/>
    </row>
    <row r="652">
      <c r="B652" s="24"/>
      <c r="C652" s="24"/>
      <c r="D652" s="24"/>
    </row>
    <row r="653">
      <c r="B653" s="24"/>
      <c r="C653" s="24"/>
      <c r="D653" s="24"/>
    </row>
    <row r="654">
      <c r="B654" s="24"/>
      <c r="C654" s="24"/>
      <c r="D654" s="24"/>
    </row>
    <row r="655">
      <c r="B655" s="24"/>
      <c r="C655" s="24"/>
      <c r="D655" s="24"/>
    </row>
    <row r="656">
      <c r="B656" s="24"/>
      <c r="C656" s="24"/>
      <c r="D656" s="24"/>
    </row>
    <row r="657">
      <c r="B657" s="24"/>
      <c r="C657" s="24"/>
      <c r="D657" s="24"/>
    </row>
    <row r="658">
      <c r="B658" s="24"/>
      <c r="C658" s="24"/>
      <c r="D658" s="24"/>
    </row>
    <row r="659">
      <c r="B659" s="24"/>
      <c r="C659" s="24"/>
      <c r="D659" s="24"/>
    </row>
    <row r="660">
      <c r="B660" s="24"/>
      <c r="C660" s="24"/>
      <c r="D660" s="24"/>
    </row>
    <row r="661">
      <c r="B661" s="24"/>
      <c r="C661" s="24"/>
      <c r="D661" s="24"/>
    </row>
    <row r="662">
      <c r="B662" s="24"/>
      <c r="C662" s="24"/>
      <c r="D662" s="24"/>
    </row>
    <row r="663">
      <c r="B663" s="24"/>
      <c r="C663" s="24"/>
      <c r="D663" s="24"/>
    </row>
    <row r="664">
      <c r="B664" s="24"/>
      <c r="C664" s="24"/>
      <c r="D664" s="24"/>
    </row>
    <row r="665">
      <c r="B665" s="24"/>
      <c r="C665" s="24"/>
      <c r="D665" s="24"/>
    </row>
    <row r="666">
      <c r="B666" s="24"/>
      <c r="C666" s="24"/>
      <c r="D666" s="24"/>
    </row>
    <row r="667">
      <c r="B667" s="24"/>
      <c r="C667" s="24"/>
      <c r="D667" s="24"/>
    </row>
    <row r="668">
      <c r="B668" s="24"/>
      <c r="C668" s="24"/>
      <c r="D668" s="24"/>
    </row>
    <row r="669">
      <c r="B669" s="24"/>
      <c r="C669" s="24"/>
      <c r="D669" s="24"/>
    </row>
    <row r="670">
      <c r="B670" s="24"/>
      <c r="C670" s="24"/>
      <c r="D670" s="24"/>
    </row>
    <row r="671">
      <c r="B671" s="24"/>
      <c r="C671" s="24"/>
      <c r="D671" s="24"/>
    </row>
    <row r="672">
      <c r="B672" s="24"/>
      <c r="C672" s="24"/>
      <c r="D672" s="24"/>
    </row>
    <row r="673">
      <c r="B673" s="24"/>
      <c r="C673" s="24"/>
      <c r="D673" s="24"/>
    </row>
    <row r="674">
      <c r="B674" s="24"/>
      <c r="C674" s="24"/>
      <c r="D674" s="24"/>
    </row>
    <row r="675">
      <c r="B675" s="24"/>
      <c r="C675" s="24"/>
      <c r="D675" s="24"/>
    </row>
    <row r="676">
      <c r="B676" s="24"/>
      <c r="C676" s="24"/>
      <c r="D676" s="24"/>
    </row>
    <row r="677">
      <c r="B677" s="24"/>
      <c r="C677" s="24"/>
      <c r="D677" s="24"/>
    </row>
    <row r="678">
      <c r="B678" s="24"/>
      <c r="C678" s="24"/>
      <c r="D678" s="24"/>
    </row>
    <row r="679">
      <c r="B679" s="24"/>
      <c r="C679" s="24"/>
      <c r="D679" s="24"/>
    </row>
    <row r="680">
      <c r="B680" s="24"/>
      <c r="C680" s="24"/>
      <c r="D680" s="24"/>
    </row>
    <row r="681">
      <c r="B681" s="24"/>
      <c r="C681" s="24"/>
      <c r="D681" s="24"/>
    </row>
    <row r="682">
      <c r="B682" s="24"/>
      <c r="C682" s="24"/>
      <c r="D682" s="24"/>
    </row>
    <row r="683">
      <c r="B683" s="24"/>
      <c r="C683" s="24"/>
      <c r="D683" s="24"/>
    </row>
    <row r="684">
      <c r="B684" s="24"/>
      <c r="C684" s="24"/>
      <c r="D684" s="24"/>
    </row>
    <row r="685">
      <c r="B685" s="24"/>
      <c r="C685" s="24"/>
      <c r="D685" s="24"/>
    </row>
    <row r="686">
      <c r="B686" s="24"/>
      <c r="C686" s="24"/>
      <c r="D686" s="24"/>
    </row>
    <row r="687">
      <c r="B687" s="24"/>
      <c r="C687" s="24"/>
      <c r="D687" s="24"/>
    </row>
    <row r="688">
      <c r="B688" s="24"/>
      <c r="C688" s="24"/>
      <c r="D688" s="24"/>
    </row>
    <row r="689">
      <c r="B689" s="24"/>
      <c r="C689" s="24"/>
      <c r="D689" s="24"/>
    </row>
    <row r="690">
      <c r="B690" s="24"/>
      <c r="C690" s="24"/>
      <c r="D690" s="24"/>
    </row>
    <row r="691">
      <c r="B691" s="24"/>
      <c r="C691" s="24"/>
      <c r="D691" s="24"/>
    </row>
    <row r="692">
      <c r="B692" s="24"/>
      <c r="C692" s="24"/>
      <c r="D692" s="24"/>
    </row>
    <row r="693">
      <c r="B693" s="24"/>
      <c r="C693" s="24"/>
      <c r="D693" s="24"/>
    </row>
    <row r="694">
      <c r="B694" s="24"/>
      <c r="C694" s="24"/>
      <c r="D694" s="24"/>
    </row>
    <row r="695">
      <c r="B695" s="24"/>
      <c r="C695" s="24"/>
      <c r="D695" s="24"/>
    </row>
    <row r="696">
      <c r="B696" s="24"/>
      <c r="C696" s="24"/>
      <c r="D696" s="24"/>
    </row>
    <row r="697">
      <c r="B697" s="24"/>
      <c r="C697" s="24"/>
      <c r="D697" s="24"/>
    </row>
    <row r="698">
      <c r="B698" s="24"/>
      <c r="C698" s="24"/>
      <c r="D698" s="24"/>
    </row>
    <row r="699">
      <c r="B699" s="24"/>
      <c r="C699" s="24"/>
      <c r="D699" s="24"/>
    </row>
    <row r="700">
      <c r="B700" s="24"/>
      <c r="C700" s="24"/>
      <c r="D700" s="24"/>
    </row>
    <row r="701">
      <c r="B701" s="24"/>
      <c r="C701" s="24"/>
      <c r="D701" s="24"/>
    </row>
    <row r="702">
      <c r="B702" s="24"/>
      <c r="C702" s="24"/>
      <c r="D702" s="24"/>
    </row>
    <row r="703">
      <c r="B703" s="24"/>
      <c r="C703" s="24"/>
      <c r="D703" s="24"/>
    </row>
    <row r="704">
      <c r="B704" s="24"/>
      <c r="C704" s="24"/>
      <c r="D704" s="24"/>
    </row>
    <row r="705">
      <c r="B705" s="24"/>
      <c r="C705" s="24"/>
      <c r="D705" s="24"/>
    </row>
    <row r="706">
      <c r="B706" s="24"/>
      <c r="C706" s="24"/>
      <c r="D706" s="24"/>
    </row>
    <row r="707">
      <c r="B707" s="24"/>
      <c r="C707" s="24"/>
      <c r="D707" s="24"/>
    </row>
    <row r="708">
      <c r="B708" s="24"/>
      <c r="C708" s="24"/>
      <c r="D708" s="24"/>
    </row>
    <row r="709">
      <c r="B709" s="24"/>
      <c r="C709" s="24"/>
      <c r="D709" s="24"/>
    </row>
    <row r="710">
      <c r="B710" s="24"/>
      <c r="C710" s="24"/>
      <c r="D710" s="24"/>
    </row>
    <row r="711">
      <c r="B711" s="24"/>
      <c r="C711" s="24"/>
      <c r="D711" s="24"/>
    </row>
    <row r="712">
      <c r="B712" s="24"/>
      <c r="C712" s="24"/>
      <c r="D712" s="24"/>
    </row>
    <row r="713">
      <c r="B713" s="24"/>
      <c r="C713" s="24"/>
      <c r="D713" s="24"/>
    </row>
    <row r="714">
      <c r="B714" s="24"/>
      <c r="C714" s="24"/>
      <c r="D714" s="24"/>
    </row>
    <row r="715">
      <c r="B715" s="24"/>
      <c r="C715" s="24"/>
      <c r="D715" s="24"/>
    </row>
    <row r="716">
      <c r="B716" s="24"/>
      <c r="C716" s="24"/>
      <c r="D716" s="24"/>
    </row>
    <row r="717">
      <c r="B717" s="24"/>
      <c r="C717" s="24"/>
      <c r="D717" s="24"/>
    </row>
    <row r="718">
      <c r="B718" s="24"/>
      <c r="C718" s="24"/>
      <c r="D718" s="24"/>
    </row>
    <row r="719">
      <c r="B719" s="24"/>
      <c r="C719" s="24"/>
      <c r="D719" s="24"/>
    </row>
    <row r="720">
      <c r="B720" s="24"/>
      <c r="C720" s="24"/>
      <c r="D720" s="24"/>
    </row>
    <row r="721">
      <c r="B721" s="24"/>
      <c r="C721" s="24"/>
      <c r="D721" s="24"/>
    </row>
    <row r="722">
      <c r="B722" s="24"/>
      <c r="C722" s="24"/>
      <c r="D722" s="24"/>
    </row>
    <row r="723">
      <c r="B723" s="24"/>
      <c r="C723" s="24"/>
      <c r="D723" s="24"/>
    </row>
    <row r="724">
      <c r="B724" s="24"/>
      <c r="C724" s="24"/>
      <c r="D724" s="24"/>
    </row>
    <row r="725">
      <c r="B725" s="24"/>
      <c r="C725" s="24"/>
      <c r="D725" s="24"/>
    </row>
    <row r="726">
      <c r="B726" s="24"/>
      <c r="C726" s="24"/>
      <c r="D726" s="24"/>
    </row>
    <row r="727">
      <c r="B727" s="24"/>
      <c r="C727" s="24"/>
      <c r="D727" s="24"/>
    </row>
    <row r="728">
      <c r="B728" s="24"/>
      <c r="C728" s="24"/>
      <c r="D728" s="24"/>
    </row>
    <row r="729">
      <c r="B729" s="24"/>
      <c r="C729" s="24"/>
      <c r="D729" s="24"/>
    </row>
    <row r="730">
      <c r="B730" s="24"/>
      <c r="C730" s="24"/>
      <c r="D730" s="24"/>
    </row>
    <row r="731">
      <c r="B731" s="24"/>
      <c r="C731" s="24"/>
      <c r="D731" s="24"/>
    </row>
    <row r="732">
      <c r="B732" s="24"/>
      <c r="C732" s="24"/>
      <c r="D732" s="24"/>
    </row>
    <row r="733">
      <c r="B733" s="24"/>
      <c r="C733" s="24"/>
      <c r="D733" s="24"/>
    </row>
    <row r="734">
      <c r="B734" s="24"/>
      <c r="C734" s="24"/>
      <c r="D734" s="24"/>
    </row>
    <row r="735">
      <c r="B735" s="24"/>
      <c r="C735" s="24"/>
      <c r="D735" s="24"/>
    </row>
    <row r="736">
      <c r="B736" s="24"/>
      <c r="C736" s="24"/>
      <c r="D736" s="24"/>
    </row>
    <row r="737">
      <c r="B737" s="24"/>
      <c r="C737" s="24"/>
      <c r="D737" s="24"/>
    </row>
    <row r="738">
      <c r="B738" s="24"/>
      <c r="C738" s="24"/>
      <c r="D738" s="24"/>
    </row>
    <row r="739">
      <c r="B739" s="24"/>
      <c r="C739" s="24"/>
      <c r="D739" s="24"/>
    </row>
    <row r="740">
      <c r="B740" s="24"/>
      <c r="C740" s="24"/>
      <c r="D740" s="24"/>
    </row>
    <row r="741">
      <c r="B741" s="24"/>
      <c r="C741" s="24"/>
      <c r="D741" s="24"/>
    </row>
    <row r="742">
      <c r="B742" s="24"/>
      <c r="C742" s="24"/>
      <c r="D742" s="24"/>
    </row>
    <row r="743">
      <c r="B743" s="24"/>
      <c r="C743" s="24"/>
      <c r="D743" s="24"/>
    </row>
    <row r="744">
      <c r="B744" s="24"/>
      <c r="C744" s="24"/>
      <c r="D744" s="24"/>
    </row>
    <row r="745">
      <c r="B745" s="24"/>
      <c r="C745" s="24"/>
      <c r="D745" s="24"/>
    </row>
    <row r="746">
      <c r="B746" s="24"/>
      <c r="C746" s="24"/>
      <c r="D746" s="24"/>
    </row>
    <row r="747">
      <c r="B747" s="24"/>
      <c r="C747" s="24"/>
      <c r="D747" s="24"/>
    </row>
    <row r="748">
      <c r="B748" s="24"/>
      <c r="C748" s="24"/>
      <c r="D748" s="24"/>
    </row>
    <row r="749">
      <c r="B749" s="24"/>
      <c r="C749" s="24"/>
      <c r="D749" s="24"/>
    </row>
    <row r="750">
      <c r="B750" s="24"/>
      <c r="C750" s="24"/>
      <c r="D750" s="24"/>
    </row>
    <row r="751">
      <c r="B751" s="24"/>
      <c r="C751" s="24"/>
      <c r="D751" s="24"/>
    </row>
    <row r="752">
      <c r="B752" s="24"/>
      <c r="C752" s="24"/>
      <c r="D752" s="24"/>
    </row>
    <row r="753">
      <c r="B753" s="24"/>
      <c r="C753" s="24"/>
      <c r="D753" s="24"/>
    </row>
    <row r="754">
      <c r="B754" s="24"/>
      <c r="C754" s="24"/>
      <c r="D754" s="24"/>
    </row>
    <row r="755">
      <c r="B755" s="24"/>
      <c r="C755" s="24"/>
      <c r="D755" s="24"/>
    </row>
    <row r="756">
      <c r="B756" s="24"/>
      <c r="C756" s="24"/>
      <c r="D756" s="24"/>
    </row>
    <row r="757">
      <c r="B757" s="24"/>
      <c r="C757" s="24"/>
      <c r="D757" s="24"/>
    </row>
    <row r="758">
      <c r="B758" s="24"/>
      <c r="C758" s="24"/>
      <c r="D758" s="24"/>
    </row>
    <row r="759">
      <c r="B759" s="24"/>
      <c r="C759" s="24"/>
      <c r="D759" s="24"/>
    </row>
    <row r="760">
      <c r="B760" s="24"/>
      <c r="C760" s="24"/>
      <c r="D760" s="24"/>
    </row>
    <row r="761">
      <c r="B761" s="24"/>
      <c r="C761" s="24"/>
      <c r="D761" s="24"/>
    </row>
    <row r="762">
      <c r="B762" s="24"/>
      <c r="C762" s="24"/>
      <c r="D762" s="24"/>
    </row>
    <row r="763">
      <c r="B763" s="24"/>
      <c r="C763" s="24"/>
      <c r="D763" s="24"/>
    </row>
    <row r="764">
      <c r="B764" s="24"/>
      <c r="C764" s="24"/>
      <c r="D764" s="24"/>
    </row>
    <row r="765">
      <c r="B765" s="24"/>
      <c r="C765" s="24"/>
      <c r="D765" s="24"/>
    </row>
    <row r="766">
      <c r="B766" s="24"/>
      <c r="C766" s="24"/>
      <c r="D766" s="24"/>
    </row>
    <row r="767">
      <c r="B767" s="24"/>
      <c r="C767" s="24"/>
      <c r="D767" s="24"/>
    </row>
    <row r="768">
      <c r="B768" s="24"/>
      <c r="C768" s="24"/>
      <c r="D768" s="24"/>
    </row>
    <row r="769">
      <c r="B769" s="24"/>
      <c r="C769" s="24"/>
      <c r="D769" s="24"/>
    </row>
    <row r="770">
      <c r="B770" s="24"/>
      <c r="C770" s="24"/>
      <c r="D770" s="24"/>
    </row>
    <row r="771">
      <c r="B771" s="24"/>
      <c r="C771" s="24"/>
      <c r="D771" s="24"/>
    </row>
    <row r="772">
      <c r="B772" s="24"/>
      <c r="C772" s="24"/>
      <c r="D772" s="24"/>
    </row>
    <row r="773">
      <c r="B773" s="24"/>
      <c r="C773" s="24"/>
      <c r="D773" s="24"/>
    </row>
    <row r="774">
      <c r="B774" s="24"/>
      <c r="C774" s="24"/>
      <c r="D774" s="24"/>
    </row>
    <row r="775">
      <c r="B775" s="24"/>
      <c r="C775" s="24"/>
      <c r="D775" s="24"/>
    </row>
    <row r="776">
      <c r="B776" s="24"/>
      <c r="C776" s="24"/>
      <c r="D776" s="24"/>
    </row>
    <row r="777">
      <c r="B777" s="24"/>
      <c r="C777" s="24"/>
      <c r="D777" s="24"/>
    </row>
    <row r="778">
      <c r="B778" s="24"/>
      <c r="C778" s="24"/>
      <c r="D778" s="24"/>
    </row>
    <row r="779">
      <c r="B779" s="24"/>
      <c r="C779" s="24"/>
      <c r="D779" s="24"/>
    </row>
    <row r="780">
      <c r="B780" s="24"/>
      <c r="C780" s="24"/>
      <c r="D780" s="24"/>
    </row>
    <row r="781">
      <c r="B781" s="24"/>
      <c r="C781" s="24"/>
      <c r="D781" s="24"/>
    </row>
    <row r="782">
      <c r="B782" s="24"/>
      <c r="C782" s="24"/>
      <c r="D782" s="24"/>
    </row>
    <row r="783">
      <c r="B783" s="24"/>
      <c r="C783" s="24"/>
      <c r="D783" s="24"/>
    </row>
    <row r="784">
      <c r="B784" s="24"/>
      <c r="C784" s="24"/>
      <c r="D784" s="24"/>
    </row>
    <row r="785">
      <c r="B785" s="24"/>
      <c r="C785" s="24"/>
      <c r="D785" s="24"/>
    </row>
    <row r="786">
      <c r="B786" s="24"/>
      <c r="C786" s="24"/>
      <c r="D786" s="24"/>
    </row>
    <row r="787">
      <c r="B787" s="24"/>
      <c r="C787" s="24"/>
      <c r="D787" s="24"/>
    </row>
    <row r="788">
      <c r="B788" s="24"/>
      <c r="C788" s="24"/>
      <c r="D788" s="24"/>
    </row>
    <row r="789">
      <c r="B789" s="24"/>
      <c r="C789" s="24"/>
      <c r="D789" s="24"/>
    </row>
    <row r="790">
      <c r="B790" s="24"/>
      <c r="C790" s="24"/>
      <c r="D790" s="24"/>
    </row>
    <row r="791">
      <c r="B791" s="24"/>
      <c r="C791" s="24"/>
      <c r="D791" s="24"/>
    </row>
    <row r="792">
      <c r="B792" s="24"/>
      <c r="C792" s="24"/>
      <c r="D792" s="24"/>
    </row>
    <row r="793">
      <c r="B793" s="24"/>
      <c r="C793" s="24"/>
      <c r="D793" s="24"/>
    </row>
    <row r="794">
      <c r="B794" s="24"/>
      <c r="C794" s="24"/>
      <c r="D794" s="24"/>
    </row>
    <row r="795">
      <c r="B795" s="24"/>
      <c r="C795" s="24"/>
      <c r="D795" s="24"/>
    </row>
    <row r="796">
      <c r="B796" s="24"/>
      <c r="C796" s="24"/>
      <c r="D796" s="24"/>
    </row>
    <row r="797">
      <c r="B797" s="24"/>
      <c r="C797" s="24"/>
      <c r="D797" s="24"/>
    </row>
    <row r="798">
      <c r="B798" s="24"/>
      <c r="C798" s="24"/>
      <c r="D798" s="24"/>
    </row>
    <row r="799">
      <c r="B799" s="24"/>
      <c r="C799" s="24"/>
      <c r="D799" s="24"/>
    </row>
    <row r="800">
      <c r="B800" s="24"/>
      <c r="C800" s="24"/>
      <c r="D800" s="24"/>
    </row>
    <row r="801">
      <c r="B801" s="24"/>
      <c r="C801" s="24"/>
      <c r="D801" s="24"/>
    </row>
    <row r="802">
      <c r="B802" s="24"/>
      <c r="C802" s="24"/>
      <c r="D802" s="24"/>
    </row>
    <row r="803">
      <c r="B803" s="24"/>
      <c r="C803" s="24"/>
      <c r="D803" s="24"/>
    </row>
    <row r="804">
      <c r="B804" s="24"/>
      <c r="C804" s="24"/>
      <c r="D804" s="24"/>
    </row>
    <row r="805">
      <c r="B805" s="24"/>
      <c r="C805" s="24"/>
      <c r="D805" s="24"/>
    </row>
    <row r="806">
      <c r="B806" s="24"/>
      <c r="C806" s="24"/>
      <c r="D806" s="24"/>
    </row>
    <row r="807">
      <c r="B807" s="24"/>
      <c r="C807" s="24"/>
      <c r="D807" s="24"/>
    </row>
    <row r="808">
      <c r="B808" s="24"/>
      <c r="C808" s="24"/>
      <c r="D808" s="24"/>
    </row>
    <row r="809">
      <c r="B809" s="24"/>
      <c r="C809" s="24"/>
      <c r="D809" s="24"/>
    </row>
    <row r="810">
      <c r="B810" s="24"/>
      <c r="C810" s="24"/>
      <c r="D810" s="24"/>
    </row>
    <row r="811">
      <c r="B811" s="24"/>
      <c r="C811" s="24"/>
      <c r="D811" s="24"/>
    </row>
    <row r="812">
      <c r="B812" s="24"/>
      <c r="C812" s="24"/>
      <c r="D812" s="24"/>
    </row>
    <row r="813">
      <c r="B813" s="24"/>
      <c r="C813" s="24"/>
      <c r="D813" s="24"/>
    </row>
    <row r="814">
      <c r="B814" s="24"/>
      <c r="C814" s="24"/>
      <c r="D814" s="24"/>
    </row>
    <row r="815">
      <c r="B815" s="24"/>
      <c r="C815" s="24"/>
      <c r="D815" s="24"/>
    </row>
    <row r="816">
      <c r="B816" s="24"/>
      <c r="C816" s="24"/>
      <c r="D816" s="24"/>
    </row>
    <row r="817">
      <c r="B817" s="24"/>
      <c r="C817" s="24"/>
      <c r="D817" s="24"/>
    </row>
    <row r="818">
      <c r="B818" s="24"/>
      <c r="C818" s="24"/>
      <c r="D818" s="24"/>
    </row>
    <row r="819">
      <c r="B819" s="24"/>
      <c r="C819" s="24"/>
      <c r="D819" s="24"/>
    </row>
    <row r="820">
      <c r="B820" s="24"/>
      <c r="C820" s="24"/>
      <c r="D820" s="24"/>
    </row>
    <row r="821">
      <c r="B821" s="24"/>
      <c r="C821" s="24"/>
      <c r="D821" s="24"/>
    </row>
    <row r="822">
      <c r="B822" s="24"/>
      <c r="C822" s="24"/>
      <c r="D822" s="24"/>
    </row>
    <row r="823">
      <c r="B823" s="24"/>
      <c r="C823" s="24"/>
      <c r="D823" s="24"/>
    </row>
    <row r="824">
      <c r="B824" s="24"/>
      <c r="C824" s="24"/>
      <c r="D824" s="24"/>
    </row>
    <row r="825">
      <c r="B825" s="24"/>
      <c r="C825" s="24"/>
      <c r="D825" s="24"/>
    </row>
    <row r="826">
      <c r="B826" s="24"/>
      <c r="C826" s="24"/>
      <c r="D826" s="24"/>
    </row>
    <row r="827">
      <c r="B827" s="24"/>
      <c r="C827" s="24"/>
      <c r="D827" s="24"/>
    </row>
    <row r="828">
      <c r="B828" s="24"/>
      <c r="C828" s="24"/>
      <c r="D828" s="24"/>
    </row>
    <row r="829">
      <c r="B829" s="24"/>
      <c r="C829" s="24"/>
      <c r="D829" s="24"/>
    </row>
    <row r="830">
      <c r="B830" s="24"/>
      <c r="C830" s="24"/>
      <c r="D830" s="24"/>
    </row>
    <row r="831">
      <c r="B831" s="24"/>
      <c r="C831" s="24"/>
      <c r="D831" s="24"/>
    </row>
    <row r="832">
      <c r="B832" s="24"/>
      <c r="C832" s="24"/>
      <c r="D832" s="24"/>
    </row>
    <row r="833">
      <c r="B833" s="24"/>
      <c r="C833" s="24"/>
      <c r="D833" s="24"/>
    </row>
    <row r="834">
      <c r="B834" s="24"/>
      <c r="C834" s="24"/>
      <c r="D834" s="24"/>
    </row>
    <row r="835">
      <c r="B835" s="24"/>
      <c r="C835" s="24"/>
      <c r="D835" s="24"/>
    </row>
    <row r="836">
      <c r="B836" s="24"/>
      <c r="C836" s="24"/>
      <c r="D836" s="24"/>
    </row>
    <row r="837">
      <c r="B837" s="24"/>
      <c r="C837" s="24"/>
      <c r="D837" s="24"/>
    </row>
    <row r="838">
      <c r="B838" s="24"/>
      <c r="C838" s="24"/>
      <c r="D838" s="24"/>
    </row>
    <row r="839">
      <c r="B839" s="24"/>
      <c r="C839" s="24"/>
      <c r="D839" s="24"/>
    </row>
    <row r="840">
      <c r="B840" s="24"/>
      <c r="C840" s="24"/>
      <c r="D840" s="24"/>
    </row>
    <row r="841">
      <c r="B841" s="24"/>
      <c r="C841" s="24"/>
      <c r="D841" s="24"/>
    </row>
    <row r="842">
      <c r="B842" s="24"/>
      <c r="C842" s="24"/>
      <c r="D842" s="24"/>
    </row>
    <row r="843">
      <c r="B843" s="24"/>
      <c r="C843" s="24"/>
      <c r="D843" s="24"/>
    </row>
    <row r="844">
      <c r="B844" s="24"/>
      <c r="C844" s="24"/>
      <c r="D844" s="24"/>
    </row>
    <row r="845">
      <c r="B845" s="24"/>
      <c r="C845" s="24"/>
      <c r="D845" s="24"/>
    </row>
    <row r="846">
      <c r="B846" s="24"/>
      <c r="C846" s="24"/>
      <c r="D846" s="24"/>
    </row>
    <row r="847">
      <c r="B847" s="24"/>
      <c r="C847" s="24"/>
      <c r="D847" s="24"/>
    </row>
    <row r="848">
      <c r="B848" s="24"/>
      <c r="C848" s="24"/>
      <c r="D848" s="24"/>
    </row>
    <row r="849">
      <c r="B849" s="24"/>
      <c r="C849" s="24"/>
      <c r="D849" s="24"/>
    </row>
    <row r="850">
      <c r="B850" s="24"/>
      <c r="C850" s="24"/>
      <c r="D850" s="24"/>
    </row>
    <row r="851">
      <c r="B851" s="24"/>
      <c r="C851" s="24"/>
      <c r="D851" s="24"/>
    </row>
    <row r="852">
      <c r="B852" s="24"/>
      <c r="C852" s="24"/>
      <c r="D852" s="24"/>
    </row>
    <row r="853">
      <c r="B853" s="24"/>
      <c r="C853" s="24"/>
      <c r="D853" s="24"/>
    </row>
    <row r="854">
      <c r="B854" s="24"/>
      <c r="C854" s="24"/>
      <c r="D854" s="24"/>
    </row>
    <row r="855">
      <c r="B855" s="24"/>
      <c r="C855" s="24"/>
      <c r="D855" s="24"/>
    </row>
    <row r="856">
      <c r="B856" s="24"/>
      <c r="C856" s="24"/>
      <c r="D856" s="24"/>
    </row>
    <row r="857">
      <c r="B857" s="24"/>
      <c r="C857" s="24"/>
      <c r="D857" s="24"/>
    </row>
    <row r="858">
      <c r="B858" s="24"/>
      <c r="C858" s="24"/>
      <c r="D858" s="24"/>
    </row>
    <row r="859">
      <c r="B859" s="24"/>
      <c r="C859" s="24"/>
      <c r="D859" s="24"/>
    </row>
    <row r="860">
      <c r="B860" s="24"/>
      <c r="C860" s="24"/>
      <c r="D860" s="24"/>
    </row>
    <row r="861">
      <c r="B861" s="24"/>
      <c r="C861" s="24"/>
      <c r="D861" s="24"/>
    </row>
    <row r="862">
      <c r="B862" s="24"/>
      <c r="C862" s="24"/>
      <c r="D862" s="24"/>
    </row>
    <row r="863">
      <c r="B863" s="24"/>
      <c r="C863" s="24"/>
      <c r="D863" s="24"/>
    </row>
    <row r="864">
      <c r="B864" s="24"/>
      <c r="C864" s="24"/>
      <c r="D864" s="24"/>
    </row>
    <row r="865">
      <c r="B865" s="24"/>
      <c r="C865" s="24"/>
      <c r="D865" s="24"/>
    </row>
    <row r="866">
      <c r="B866" s="24"/>
      <c r="C866" s="24"/>
      <c r="D866" s="24"/>
    </row>
    <row r="867">
      <c r="B867" s="24"/>
      <c r="C867" s="24"/>
      <c r="D867" s="24"/>
    </row>
    <row r="868">
      <c r="B868" s="24"/>
      <c r="C868" s="24"/>
      <c r="D868" s="24"/>
    </row>
    <row r="869">
      <c r="B869" s="24"/>
      <c r="C869" s="24"/>
      <c r="D869" s="24"/>
    </row>
    <row r="870">
      <c r="B870" s="24"/>
      <c r="C870" s="24"/>
      <c r="D870" s="24"/>
    </row>
    <row r="871">
      <c r="B871" s="24"/>
      <c r="C871" s="24"/>
      <c r="D871" s="24"/>
    </row>
    <row r="872">
      <c r="B872" s="24"/>
      <c r="C872" s="24"/>
      <c r="D872" s="24"/>
    </row>
    <row r="873">
      <c r="B873" s="24"/>
      <c r="C873" s="24"/>
      <c r="D873" s="24"/>
    </row>
    <row r="874">
      <c r="B874" s="24"/>
      <c r="C874" s="24"/>
      <c r="D874" s="24"/>
    </row>
    <row r="875">
      <c r="B875" s="24"/>
      <c r="C875" s="24"/>
      <c r="D875" s="24"/>
    </row>
    <row r="876">
      <c r="B876" s="24"/>
      <c r="C876" s="24"/>
      <c r="D876" s="24"/>
    </row>
    <row r="877">
      <c r="B877" s="24"/>
      <c r="C877" s="24"/>
      <c r="D877" s="24"/>
    </row>
    <row r="878">
      <c r="B878" s="24"/>
      <c r="C878" s="24"/>
      <c r="D878" s="24"/>
    </row>
    <row r="879">
      <c r="B879" s="24"/>
      <c r="C879" s="24"/>
      <c r="D879" s="24"/>
    </row>
    <row r="880">
      <c r="B880" s="24"/>
      <c r="C880" s="24"/>
      <c r="D880" s="24"/>
    </row>
    <row r="881">
      <c r="B881" s="24"/>
      <c r="C881" s="24"/>
      <c r="D881" s="24"/>
    </row>
    <row r="882">
      <c r="B882" s="24"/>
      <c r="C882" s="24"/>
      <c r="D882" s="24"/>
    </row>
    <row r="883">
      <c r="B883" s="24"/>
      <c r="C883" s="24"/>
      <c r="D883" s="24"/>
    </row>
    <row r="884">
      <c r="B884" s="24"/>
      <c r="C884" s="24"/>
      <c r="D884" s="24"/>
    </row>
    <row r="885">
      <c r="B885" s="24"/>
      <c r="C885" s="24"/>
      <c r="D885" s="24"/>
    </row>
    <row r="886">
      <c r="B886" s="24"/>
      <c r="C886" s="24"/>
      <c r="D886" s="24"/>
    </row>
    <row r="887">
      <c r="B887" s="24"/>
      <c r="C887" s="24"/>
      <c r="D887" s="24"/>
    </row>
    <row r="888">
      <c r="B888" s="24"/>
      <c r="C888" s="24"/>
      <c r="D888" s="24"/>
    </row>
    <row r="889">
      <c r="B889" s="24"/>
      <c r="C889" s="24"/>
      <c r="D889" s="24"/>
    </row>
    <row r="890">
      <c r="B890" s="24"/>
      <c r="C890" s="24"/>
      <c r="D890" s="24"/>
    </row>
    <row r="891">
      <c r="B891" s="24"/>
      <c r="C891" s="24"/>
      <c r="D891" s="24"/>
    </row>
    <row r="892">
      <c r="B892" s="24"/>
      <c r="C892" s="24"/>
      <c r="D892" s="24"/>
    </row>
    <row r="893">
      <c r="B893" s="24"/>
      <c r="C893" s="24"/>
      <c r="D893" s="24"/>
    </row>
    <row r="894">
      <c r="B894" s="24"/>
      <c r="C894" s="24"/>
      <c r="D894" s="24"/>
    </row>
    <row r="895">
      <c r="B895" s="24"/>
      <c r="C895" s="24"/>
      <c r="D895" s="24"/>
    </row>
    <row r="896">
      <c r="B896" s="24"/>
      <c r="C896" s="24"/>
      <c r="D896" s="24"/>
    </row>
    <row r="897">
      <c r="B897" s="24"/>
      <c r="C897" s="24"/>
      <c r="D897" s="24"/>
    </row>
    <row r="898">
      <c r="B898" s="24"/>
      <c r="C898" s="24"/>
      <c r="D898" s="24"/>
    </row>
    <row r="899">
      <c r="B899" s="24"/>
      <c r="C899" s="24"/>
      <c r="D899" s="24"/>
    </row>
    <row r="900">
      <c r="B900" s="24"/>
      <c r="C900" s="24"/>
      <c r="D900" s="24"/>
    </row>
    <row r="901">
      <c r="B901" s="24"/>
      <c r="C901" s="24"/>
      <c r="D901" s="24"/>
    </row>
    <row r="902">
      <c r="B902" s="24"/>
      <c r="C902" s="24"/>
      <c r="D902" s="24"/>
    </row>
    <row r="903">
      <c r="B903" s="24"/>
      <c r="C903" s="24"/>
      <c r="D903" s="24"/>
    </row>
    <row r="904">
      <c r="B904" s="24"/>
      <c r="C904" s="24"/>
      <c r="D904" s="24"/>
    </row>
    <row r="905">
      <c r="B905" s="24"/>
      <c r="C905" s="24"/>
      <c r="D905" s="24"/>
    </row>
    <row r="906">
      <c r="B906" s="24"/>
      <c r="C906" s="24"/>
      <c r="D906" s="24"/>
    </row>
    <row r="907">
      <c r="B907" s="24"/>
      <c r="C907" s="24"/>
      <c r="D907" s="24"/>
    </row>
    <row r="908">
      <c r="B908" s="24"/>
      <c r="C908" s="24"/>
      <c r="D908" s="24"/>
    </row>
    <row r="909">
      <c r="B909" s="24"/>
      <c r="C909" s="24"/>
      <c r="D909" s="24"/>
    </row>
    <row r="910">
      <c r="B910" s="24"/>
      <c r="C910" s="24"/>
      <c r="D910" s="24"/>
    </row>
    <row r="911">
      <c r="B911" s="24"/>
      <c r="C911" s="24"/>
      <c r="D911" s="24"/>
    </row>
    <row r="912">
      <c r="B912" s="24"/>
      <c r="C912" s="24"/>
      <c r="D912" s="24"/>
    </row>
    <row r="913">
      <c r="B913" s="24"/>
      <c r="C913" s="24"/>
      <c r="D913" s="24"/>
    </row>
    <row r="914">
      <c r="B914" s="24"/>
      <c r="C914" s="24"/>
      <c r="D914" s="24"/>
    </row>
    <row r="915">
      <c r="B915" s="24"/>
      <c r="C915" s="24"/>
      <c r="D915" s="24"/>
    </row>
    <row r="916">
      <c r="B916" s="24"/>
      <c r="C916" s="24"/>
      <c r="D916" s="24"/>
    </row>
    <row r="917">
      <c r="B917" s="24"/>
      <c r="C917" s="24"/>
      <c r="D917" s="24"/>
    </row>
    <row r="918">
      <c r="B918" s="24"/>
      <c r="C918" s="24"/>
      <c r="D918" s="24"/>
    </row>
    <row r="919">
      <c r="B919" s="24"/>
      <c r="C919" s="24"/>
      <c r="D919" s="24"/>
    </row>
    <row r="920">
      <c r="B920" s="24"/>
      <c r="C920" s="24"/>
      <c r="D920" s="24"/>
    </row>
    <row r="921">
      <c r="B921" s="24"/>
      <c r="C921" s="24"/>
      <c r="D921" s="24"/>
    </row>
    <row r="922">
      <c r="B922" s="24"/>
      <c r="C922" s="24"/>
      <c r="D922" s="24"/>
    </row>
    <row r="923">
      <c r="B923" s="24"/>
      <c r="C923" s="24"/>
      <c r="D923" s="24"/>
    </row>
    <row r="924">
      <c r="B924" s="24"/>
      <c r="C924" s="24"/>
      <c r="D924" s="24"/>
    </row>
    <row r="925">
      <c r="B925" s="24"/>
      <c r="C925" s="24"/>
      <c r="D925" s="24"/>
    </row>
    <row r="926">
      <c r="B926" s="24"/>
      <c r="C926" s="24"/>
      <c r="D926" s="24"/>
    </row>
    <row r="927">
      <c r="B927" s="24"/>
      <c r="C927" s="24"/>
      <c r="D927" s="24"/>
    </row>
    <row r="928">
      <c r="B928" s="24"/>
      <c r="C928" s="24"/>
      <c r="D928" s="24"/>
    </row>
    <row r="929">
      <c r="B929" s="24"/>
      <c r="C929" s="24"/>
      <c r="D929" s="24"/>
    </row>
    <row r="930">
      <c r="B930" s="24"/>
      <c r="C930" s="24"/>
      <c r="D930" s="24"/>
    </row>
    <row r="931">
      <c r="B931" s="24"/>
      <c r="C931" s="24"/>
      <c r="D931" s="24"/>
    </row>
    <row r="932">
      <c r="B932" s="24"/>
      <c r="C932" s="24"/>
      <c r="D932" s="24"/>
    </row>
    <row r="933">
      <c r="B933" s="24"/>
      <c r="C933" s="24"/>
      <c r="D933" s="24"/>
    </row>
    <row r="934">
      <c r="B934" s="24"/>
      <c r="C934" s="24"/>
      <c r="D934" s="24"/>
    </row>
    <row r="935">
      <c r="B935" s="24"/>
      <c r="C935" s="24"/>
      <c r="D935" s="24"/>
    </row>
    <row r="936">
      <c r="B936" s="24"/>
      <c r="C936" s="24"/>
      <c r="D936" s="24"/>
    </row>
    <row r="937">
      <c r="B937" s="24"/>
      <c r="C937" s="24"/>
      <c r="D937" s="24"/>
    </row>
    <row r="938">
      <c r="B938" s="24"/>
      <c r="C938" s="24"/>
      <c r="D938" s="24"/>
    </row>
    <row r="939">
      <c r="B939" s="24"/>
      <c r="C939" s="24"/>
      <c r="D939" s="24"/>
    </row>
    <row r="940">
      <c r="B940" s="24"/>
      <c r="C940" s="24"/>
      <c r="D940" s="24"/>
    </row>
    <row r="941">
      <c r="B941" s="24"/>
      <c r="C941" s="24"/>
      <c r="D941" s="24"/>
    </row>
    <row r="942">
      <c r="B942" s="24"/>
      <c r="C942" s="24"/>
      <c r="D942" s="24"/>
    </row>
    <row r="943">
      <c r="B943" s="24"/>
      <c r="C943" s="24"/>
      <c r="D943" s="24"/>
    </row>
    <row r="944">
      <c r="B944" s="24"/>
      <c r="C944" s="24"/>
      <c r="D944" s="24"/>
    </row>
    <row r="945">
      <c r="B945" s="24"/>
      <c r="C945" s="24"/>
      <c r="D945" s="24"/>
    </row>
    <row r="946">
      <c r="B946" s="24"/>
      <c r="C946" s="24"/>
      <c r="D946" s="24"/>
    </row>
    <row r="947">
      <c r="B947" s="24"/>
      <c r="C947" s="24"/>
      <c r="D947" s="24"/>
    </row>
    <row r="948">
      <c r="B948" s="24"/>
      <c r="C948" s="24"/>
      <c r="D948" s="24"/>
    </row>
    <row r="949">
      <c r="B949" s="24"/>
      <c r="C949" s="24"/>
      <c r="D949" s="24"/>
    </row>
    <row r="950">
      <c r="B950" s="24"/>
      <c r="C950" s="24"/>
      <c r="D950" s="24"/>
    </row>
    <row r="951">
      <c r="B951" s="24"/>
      <c r="C951" s="24"/>
      <c r="D951" s="24"/>
    </row>
    <row r="952">
      <c r="B952" s="24"/>
      <c r="C952" s="24"/>
      <c r="D952" s="24"/>
    </row>
    <row r="953">
      <c r="B953" s="24"/>
      <c r="C953" s="24"/>
      <c r="D953" s="24"/>
    </row>
    <row r="954">
      <c r="B954" s="24"/>
      <c r="C954" s="24"/>
      <c r="D954" s="24"/>
    </row>
    <row r="955">
      <c r="B955" s="24"/>
      <c r="C955" s="24"/>
      <c r="D955" s="24"/>
    </row>
    <row r="956">
      <c r="B956" s="24"/>
      <c r="C956" s="24"/>
      <c r="D956" s="24"/>
    </row>
    <row r="957">
      <c r="B957" s="24"/>
      <c r="C957" s="24"/>
      <c r="D957" s="24"/>
    </row>
    <row r="958">
      <c r="B958" s="24"/>
      <c r="C958" s="24"/>
      <c r="D958" s="24"/>
    </row>
    <row r="959">
      <c r="B959" s="24"/>
      <c r="C959" s="24"/>
      <c r="D959" s="24"/>
    </row>
    <row r="960">
      <c r="B960" s="24"/>
      <c r="C960" s="24"/>
      <c r="D960" s="24"/>
    </row>
    <row r="961">
      <c r="B961" s="24"/>
      <c r="C961" s="24"/>
      <c r="D961" s="24"/>
    </row>
    <row r="962">
      <c r="B962" s="24"/>
      <c r="C962" s="24"/>
      <c r="D962" s="24"/>
    </row>
    <row r="963">
      <c r="B963" s="24"/>
      <c r="C963" s="24"/>
      <c r="D963" s="24"/>
    </row>
    <row r="964">
      <c r="B964" s="24"/>
      <c r="C964" s="24"/>
      <c r="D964" s="24"/>
    </row>
    <row r="965">
      <c r="B965" s="24"/>
      <c r="C965" s="24"/>
      <c r="D965" s="24"/>
    </row>
    <row r="966">
      <c r="B966" s="24"/>
      <c r="C966" s="24"/>
      <c r="D966" s="24"/>
    </row>
    <row r="967">
      <c r="B967" s="24"/>
      <c r="C967" s="24"/>
      <c r="D967" s="24"/>
    </row>
    <row r="968">
      <c r="B968" s="24"/>
      <c r="C968" s="24"/>
      <c r="D968" s="24"/>
    </row>
    <row r="969">
      <c r="B969" s="24"/>
      <c r="C969" s="24"/>
      <c r="D969" s="24"/>
    </row>
    <row r="970">
      <c r="B970" s="24"/>
      <c r="C970" s="24"/>
      <c r="D970" s="24"/>
    </row>
    <row r="971">
      <c r="B971" s="24"/>
      <c r="C971" s="24"/>
      <c r="D971" s="24"/>
    </row>
    <row r="972">
      <c r="B972" s="24"/>
      <c r="C972" s="24"/>
      <c r="D972" s="24"/>
    </row>
    <row r="973">
      <c r="B973" s="24"/>
      <c r="C973" s="24"/>
      <c r="D973" s="24"/>
    </row>
    <row r="974">
      <c r="B974" s="24"/>
      <c r="C974" s="24"/>
      <c r="D974" s="24"/>
    </row>
    <row r="975">
      <c r="B975" s="24"/>
      <c r="C975" s="24"/>
      <c r="D975" s="24"/>
    </row>
    <row r="976">
      <c r="B976" s="24"/>
      <c r="C976" s="24"/>
      <c r="D976" s="24"/>
    </row>
    <row r="977">
      <c r="B977" s="24"/>
      <c r="C977" s="24"/>
      <c r="D977" s="24"/>
    </row>
    <row r="978">
      <c r="B978" s="24"/>
      <c r="C978" s="24"/>
      <c r="D978" s="24"/>
    </row>
    <row r="979">
      <c r="B979" s="24"/>
      <c r="C979" s="24"/>
      <c r="D979" s="24"/>
    </row>
    <row r="980">
      <c r="B980" s="24"/>
      <c r="C980" s="24"/>
      <c r="D980" s="24"/>
    </row>
    <row r="981">
      <c r="B981" s="24"/>
      <c r="C981" s="24"/>
      <c r="D981" s="24"/>
    </row>
    <row r="982">
      <c r="B982" s="24"/>
      <c r="C982" s="24"/>
      <c r="D982" s="24"/>
    </row>
    <row r="983">
      <c r="B983" s="24"/>
      <c r="C983" s="24"/>
      <c r="D983" s="24"/>
    </row>
    <row r="984">
      <c r="B984" s="24"/>
      <c r="C984" s="24"/>
      <c r="D984" s="24"/>
    </row>
    <row r="985">
      <c r="B985" s="24"/>
      <c r="C985" s="24"/>
      <c r="D985" s="24"/>
    </row>
    <row r="986">
      <c r="B986" s="24"/>
      <c r="C986" s="24"/>
      <c r="D986" s="24"/>
    </row>
    <row r="987">
      <c r="B987" s="24"/>
      <c r="C987" s="24"/>
      <c r="D987" s="24"/>
    </row>
    <row r="988">
      <c r="B988" s="24"/>
      <c r="C988" s="24"/>
      <c r="D988" s="24"/>
    </row>
    <row r="989">
      <c r="B989" s="24"/>
      <c r="C989" s="24"/>
      <c r="D989" s="24"/>
    </row>
    <row r="990">
      <c r="B990" s="24"/>
      <c r="C990" s="24"/>
      <c r="D990" s="24"/>
    </row>
    <row r="991">
      <c r="B991" s="24"/>
      <c r="C991" s="24"/>
      <c r="D991" s="24"/>
    </row>
    <row r="992">
      <c r="B992" s="24"/>
      <c r="C992" s="24"/>
      <c r="D992" s="24"/>
    </row>
    <row r="993">
      <c r="B993" s="24"/>
      <c r="C993" s="24"/>
      <c r="D993" s="24"/>
    </row>
    <row r="994">
      <c r="B994" s="24"/>
      <c r="C994" s="24"/>
      <c r="D994" s="24"/>
    </row>
    <row r="995">
      <c r="B995" s="24"/>
      <c r="C995" s="24"/>
      <c r="D995" s="24"/>
    </row>
    <row r="996">
      <c r="B996" s="24"/>
      <c r="C996" s="24"/>
      <c r="D996" s="24"/>
    </row>
    <row r="997">
      <c r="B997" s="24"/>
      <c r="C997" s="24"/>
      <c r="D997" s="24"/>
    </row>
    <row r="998">
      <c r="B998" s="24"/>
      <c r="C998" s="24"/>
      <c r="D998" s="24"/>
    </row>
    <row r="999">
      <c r="B999" s="24"/>
      <c r="C999" s="24"/>
      <c r="D999" s="24"/>
    </row>
    <row r="1000">
      <c r="B1000" s="24"/>
      <c r="C1000" s="24"/>
      <c r="D1000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25"/>
    <col customWidth="1" min="2" max="2" width="20.63"/>
    <col customWidth="1" min="3" max="4" width="25.13"/>
    <col customWidth="1" min="5" max="5" width="20.63"/>
    <col customWidth="1" min="6" max="7" width="25.75"/>
    <col customWidth="1" min="8" max="8" width="20.63"/>
    <col customWidth="1" min="9" max="10" width="24.88"/>
    <col customWidth="1" min="11" max="12" width="27.63"/>
    <col customWidth="1" min="13" max="13" width="25.5"/>
    <col customWidth="1" min="14" max="15" width="33.0"/>
    <col customWidth="1" min="16" max="16" width="33.25"/>
  </cols>
  <sheetData>
    <row r="1" ht="15.0" customHeight="1">
      <c r="A1" s="40"/>
      <c r="B1" s="1">
        <v>2023.0</v>
      </c>
      <c r="C1" s="2"/>
      <c r="D1" s="3"/>
      <c r="E1" s="1">
        <v>2024.0</v>
      </c>
      <c r="F1" s="2"/>
      <c r="G1" s="3"/>
      <c r="H1" s="1">
        <v>2025.0</v>
      </c>
      <c r="I1" s="2"/>
      <c r="J1" s="3"/>
      <c r="M1" s="41"/>
      <c r="N1" s="41"/>
      <c r="O1" s="41"/>
      <c r="P1" s="42"/>
    </row>
    <row r="2" ht="15.0" customHeight="1">
      <c r="A2" s="28" t="s">
        <v>18</v>
      </c>
      <c r="B2" s="43" t="s">
        <v>23</v>
      </c>
      <c r="C2" s="44" t="s">
        <v>27</v>
      </c>
      <c r="D2" s="43" t="s">
        <v>31</v>
      </c>
      <c r="E2" s="43" t="s">
        <v>23</v>
      </c>
      <c r="F2" s="43" t="s">
        <v>27</v>
      </c>
      <c r="G2" s="43" t="s">
        <v>31</v>
      </c>
      <c r="H2" s="43" t="s">
        <v>23</v>
      </c>
      <c r="I2" s="8" t="s">
        <v>27</v>
      </c>
      <c r="J2" s="8" t="s">
        <v>31</v>
      </c>
      <c r="K2" s="32" t="s">
        <v>143</v>
      </c>
      <c r="L2" s="32" t="s">
        <v>144</v>
      </c>
      <c r="M2" s="32" t="s">
        <v>97</v>
      </c>
      <c r="N2" s="32" t="s">
        <v>145</v>
      </c>
      <c r="O2" s="32" t="s">
        <v>146</v>
      </c>
      <c r="P2" s="33" t="s">
        <v>98</v>
      </c>
      <c r="Q2" s="4"/>
      <c r="R2" s="4"/>
      <c r="S2" s="4"/>
      <c r="T2" s="4"/>
      <c r="U2" s="4"/>
      <c r="V2" s="4"/>
      <c r="W2" s="4"/>
      <c r="X2" s="4"/>
      <c r="Y2" s="4"/>
    </row>
    <row r="3" ht="15.0" customHeight="1">
      <c r="A3" s="45" t="s">
        <v>116</v>
      </c>
      <c r="B3" s="46">
        <v>27.02</v>
      </c>
      <c r="C3" s="46">
        <v>18.15</v>
      </c>
      <c r="D3" s="46">
        <v>36.35</v>
      </c>
      <c r="E3" s="46">
        <v>29.43</v>
      </c>
      <c r="F3" s="46">
        <v>18.81</v>
      </c>
      <c r="G3" s="46">
        <v>38.2</v>
      </c>
      <c r="H3" s="46">
        <v>35.27</v>
      </c>
      <c r="I3" s="46">
        <v>22.82</v>
      </c>
      <c r="J3" s="46">
        <v>63.5</v>
      </c>
      <c r="K3" s="35">
        <f t="shared" ref="K3:K52" si="1">((E3-B3)/B3)*100</f>
        <v>8.919319023</v>
      </c>
      <c r="L3" s="35">
        <f t="shared" ref="L3:L52" si="2">((H3-E3)/E3)*100</f>
        <v>19.84369691</v>
      </c>
      <c r="M3" s="35">
        <f t="shared" ref="M3:M52" si="3">((H3-B3)/B3)*100</f>
        <v>30.53293856</v>
      </c>
      <c r="N3" s="35">
        <f t="shared" ref="N3:N52" si="4">((J3-D3)/D3)*100</f>
        <v>74.69050894</v>
      </c>
      <c r="O3" s="35">
        <f t="shared" ref="O3:O52" si="5">((I3-C3)/C3)*100</f>
        <v>25.73002755</v>
      </c>
      <c r="P3" s="36">
        <f t="shared" ref="P3:P52" si="6">(H3/B3)^(1/2) - 1</f>
        <v>0.142510125</v>
      </c>
    </row>
    <row r="4" ht="15.0" customHeight="1">
      <c r="A4" s="45" t="s">
        <v>64</v>
      </c>
      <c r="B4" s="46">
        <v>26.56</v>
      </c>
      <c r="C4" s="46">
        <v>18.2</v>
      </c>
      <c r="D4" s="46">
        <v>37.4</v>
      </c>
      <c r="E4" s="46">
        <v>29.89</v>
      </c>
      <c r="F4" s="46">
        <v>18.38</v>
      </c>
      <c r="G4" s="46">
        <v>43.22</v>
      </c>
      <c r="H4" s="46">
        <v>32.02</v>
      </c>
      <c r="I4" s="46">
        <v>18.67</v>
      </c>
      <c r="J4" s="46">
        <v>45.9</v>
      </c>
      <c r="K4" s="35">
        <f t="shared" si="1"/>
        <v>12.5376506</v>
      </c>
      <c r="L4" s="35">
        <f t="shared" si="2"/>
        <v>7.12612914</v>
      </c>
      <c r="M4" s="35">
        <f t="shared" si="3"/>
        <v>20.55722892</v>
      </c>
      <c r="N4" s="35">
        <f t="shared" si="4"/>
        <v>22.72727273</v>
      </c>
      <c r="O4" s="35">
        <f t="shared" si="5"/>
        <v>2.582417582</v>
      </c>
      <c r="P4" s="36">
        <f t="shared" si="6"/>
        <v>0.09798555963</v>
      </c>
    </row>
    <row r="5" ht="15.0" customHeight="1">
      <c r="A5" s="45" t="s">
        <v>78</v>
      </c>
      <c r="B5" s="46">
        <v>31.21</v>
      </c>
      <c r="C5" s="46">
        <v>22.78</v>
      </c>
      <c r="D5" s="46">
        <v>38.47</v>
      </c>
      <c r="E5" s="46">
        <v>34.36</v>
      </c>
      <c r="F5" s="46">
        <v>25.29</v>
      </c>
      <c r="G5" s="46">
        <v>45.33</v>
      </c>
      <c r="H5" s="46">
        <v>37.14</v>
      </c>
      <c r="I5" s="46">
        <v>26.05</v>
      </c>
      <c r="J5" s="46">
        <v>55.63</v>
      </c>
      <c r="K5" s="35">
        <f t="shared" si="1"/>
        <v>10.09291894</v>
      </c>
      <c r="L5" s="35">
        <f t="shared" si="2"/>
        <v>8.09080326</v>
      </c>
      <c r="M5" s="35">
        <f t="shared" si="3"/>
        <v>19.00032041</v>
      </c>
      <c r="N5" s="35">
        <f t="shared" si="4"/>
        <v>44.60618664</v>
      </c>
      <c r="O5" s="35">
        <f t="shared" si="5"/>
        <v>14.3546971</v>
      </c>
      <c r="P5" s="36">
        <f t="shared" si="6"/>
        <v>0.09087268006</v>
      </c>
    </row>
    <row r="6" ht="15.0" customHeight="1">
      <c r="A6" s="45" t="s">
        <v>109</v>
      </c>
      <c r="B6" s="46">
        <v>41.03</v>
      </c>
      <c r="C6" s="46">
        <v>23.52</v>
      </c>
      <c r="D6" s="46">
        <v>53.77</v>
      </c>
      <c r="E6" s="46">
        <v>44.21</v>
      </c>
      <c r="F6" s="46">
        <v>24.88</v>
      </c>
      <c r="G6" s="46">
        <v>58.12</v>
      </c>
      <c r="H6" s="46">
        <v>47.96</v>
      </c>
      <c r="I6" s="46">
        <v>28.63</v>
      </c>
      <c r="J6" s="46">
        <v>63.24</v>
      </c>
      <c r="K6" s="35">
        <f t="shared" si="1"/>
        <v>7.750426517</v>
      </c>
      <c r="L6" s="35">
        <f t="shared" si="2"/>
        <v>8.482243836</v>
      </c>
      <c r="M6" s="35">
        <f t="shared" si="3"/>
        <v>16.89008043</v>
      </c>
      <c r="N6" s="35">
        <f t="shared" si="4"/>
        <v>17.61205133</v>
      </c>
      <c r="O6" s="35">
        <f t="shared" si="5"/>
        <v>21.72619048</v>
      </c>
      <c r="P6" s="36">
        <f t="shared" si="6"/>
        <v>0.08115715985</v>
      </c>
    </row>
    <row r="7" ht="15.0" customHeight="1">
      <c r="A7" s="45" t="s">
        <v>54</v>
      </c>
      <c r="B7" s="46">
        <v>33.18</v>
      </c>
      <c r="C7" s="46">
        <v>19.48</v>
      </c>
      <c r="D7" s="46">
        <v>45.43</v>
      </c>
      <c r="E7" s="46">
        <v>35.66</v>
      </c>
      <c r="F7" s="46">
        <v>22.51</v>
      </c>
      <c r="G7" s="46">
        <v>47.76</v>
      </c>
      <c r="H7" s="46">
        <v>37.21</v>
      </c>
      <c r="I7" s="46">
        <v>22.92</v>
      </c>
      <c r="J7" s="46">
        <v>50.13</v>
      </c>
      <c r="K7" s="35">
        <f t="shared" si="1"/>
        <v>7.474382158</v>
      </c>
      <c r="L7" s="35">
        <f t="shared" si="2"/>
        <v>4.346606842</v>
      </c>
      <c r="M7" s="35">
        <f t="shared" si="3"/>
        <v>12.14587101</v>
      </c>
      <c r="N7" s="35">
        <f t="shared" si="4"/>
        <v>10.34558662</v>
      </c>
      <c r="O7" s="35">
        <f t="shared" si="5"/>
        <v>17.65913758</v>
      </c>
      <c r="P7" s="36">
        <f t="shared" si="6"/>
        <v>0.0589894759</v>
      </c>
    </row>
    <row r="8" ht="15.0" customHeight="1">
      <c r="A8" s="45" t="s">
        <v>84</v>
      </c>
      <c r="B8" s="46">
        <v>31.67</v>
      </c>
      <c r="C8" s="46">
        <v>18.35</v>
      </c>
      <c r="D8" s="46">
        <v>45.31</v>
      </c>
      <c r="E8" s="46">
        <v>34.17</v>
      </c>
      <c r="F8" s="46">
        <v>18.79</v>
      </c>
      <c r="G8" s="46">
        <v>48.75</v>
      </c>
      <c r="H8" s="46">
        <v>35.5</v>
      </c>
      <c r="I8" s="46">
        <v>20.66</v>
      </c>
      <c r="J8" s="46">
        <v>49.58</v>
      </c>
      <c r="K8" s="35">
        <f t="shared" si="1"/>
        <v>7.893905905</v>
      </c>
      <c r="L8" s="35">
        <f t="shared" si="2"/>
        <v>3.89230319</v>
      </c>
      <c r="M8" s="35">
        <f t="shared" si="3"/>
        <v>12.09346385</v>
      </c>
      <c r="N8" s="35">
        <f t="shared" si="4"/>
        <v>9.423968219</v>
      </c>
      <c r="O8" s="35">
        <f t="shared" si="5"/>
        <v>12.58855586</v>
      </c>
      <c r="P8" s="36">
        <f t="shared" si="6"/>
        <v>0.05874200751</v>
      </c>
    </row>
    <row r="9" ht="15.0" customHeight="1">
      <c r="A9" s="45" t="s">
        <v>72</v>
      </c>
      <c r="B9" s="46">
        <v>29.85</v>
      </c>
      <c r="C9" s="46">
        <v>17.92</v>
      </c>
      <c r="D9" s="46">
        <v>42.75</v>
      </c>
      <c r="E9" s="46">
        <v>31.48</v>
      </c>
      <c r="F9" s="46">
        <v>18.21</v>
      </c>
      <c r="G9" s="46">
        <v>45.39</v>
      </c>
      <c r="H9" s="46">
        <v>33.27</v>
      </c>
      <c r="I9" s="46">
        <v>20.51</v>
      </c>
      <c r="J9" s="46">
        <v>46.55</v>
      </c>
      <c r="K9" s="35">
        <f t="shared" si="1"/>
        <v>5.460636516</v>
      </c>
      <c r="L9" s="35">
        <f t="shared" si="2"/>
        <v>5.686149936</v>
      </c>
      <c r="M9" s="35">
        <f t="shared" si="3"/>
        <v>11.45728643</v>
      </c>
      <c r="N9" s="35">
        <f t="shared" si="4"/>
        <v>8.888888889</v>
      </c>
      <c r="O9" s="35">
        <f t="shared" si="5"/>
        <v>14.453125</v>
      </c>
      <c r="P9" s="36">
        <f t="shared" si="6"/>
        <v>0.05573333012</v>
      </c>
    </row>
    <row r="10" ht="15.0" customHeight="1">
      <c r="A10" s="45" t="s">
        <v>92</v>
      </c>
      <c r="B10" s="46">
        <v>31.22</v>
      </c>
      <c r="C10" s="46">
        <v>21.98</v>
      </c>
      <c r="D10" s="46">
        <v>42.64</v>
      </c>
      <c r="E10" s="46">
        <v>32.73</v>
      </c>
      <c r="F10" s="46">
        <v>23.09</v>
      </c>
      <c r="G10" s="46">
        <v>41.11</v>
      </c>
      <c r="H10" s="46">
        <v>34.58</v>
      </c>
      <c r="I10" s="46">
        <v>23.62</v>
      </c>
      <c r="J10" s="46">
        <v>43.03</v>
      </c>
      <c r="K10" s="35">
        <f t="shared" si="1"/>
        <v>4.836643177</v>
      </c>
      <c r="L10" s="35">
        <f t="shared" si="2"/>
        <v>5.652306752</v>
      </c>
      <c r="M10" s="35">
        <f t="shared" si="3"/>
        <v>10.76233184</v>
      </c>
      <c r="N10" s="35">
        <f t="shared" si="4"/>
        <v>0.9146341463</v>
      </c>
      <c r="O10" s="35">
        <f t="shared" si="5"/>
        <v>7.46132848</v>
      </c>
      <c r="P10" s="36">
        <f t="shared" si="6"/>
        <v>0.05243684769</v>
      </c>
    </row>
    <row r="11" ht="15.0" customHeight="1">
      <c r="A11" s="45" t="s">
        <v>102</v>
      </c>
      <c r="B11" s="46">
        <v>37.76</v>
      </c>
      <c r="C11" s="46">
        <v>20.63</v>
      </c>
      <c r="D11" s="46">
        <v>61.32</v>
      </c>
      <c r="E11" s="46">
        <v>38.51</v>
      </c>
      <c r="F11" s="46">
        <v>18.49</v>
      </c>
      <c r="G11" s="46">
        <v>62.11</v>
      </c>
      <c r="H11" s="46">
        <v>41.68</v>
      </c>
      <c r="I11" s="46">
        <v>23.35</v>
      </c>
      <c r="J11" s="46">
        <v>62.91</v>
      </c>
      <c r="K11" s="35">
        <f t="shared" si="1"/>
        <v>1.986228814</v>
      </c>
      <c r="L11" s="35">
        <f t="shared" si="2"/>
        <v>8.231628149</v>
      </c>
      <c r="M11" s="35">
        <f t="shared" si="3"/>
        <v>10.38135593</v>
      </c>
      <c r="N11" s="35">
        <f t="shared" si="4"/>
        <v>2.59295499</v>
      </c>
      <c r="O11" s="35">
        <f t="shared" si="5"/>
        <v>13.1846825</v>
      </c>
      <c r="P11" s="36">
        <f t="shared" si="6"/>
        <v>0.05062531824</v>
      </c>
    </row>
    <row r="12" ht="15.0" customHeight="1">
      <c r="A12" s="45" t="s">
        <v>96</v>
      </c>
      <c r="B12" s="46">
        <v>33.0</v>
      </c>
      <c r="C12" s="46">
        <v>20.56</v>
      </c>
      <c r="D12" s="46">
        <v>54.29</v>
      </c>
      <c r="E12" s="46">
        <v>34.67</v>
      </c>
      <c r="F12" s="46">
        <v>21.72</v>
      </c>
      <c r="G12" s="46">
        <v>54.99</v>
      </c>
      <c r="H12" s="46">
        <v>36.4</v>
      </c>
      <c r="I12" s="46">
        <v>22.17</v>
      </c>
      <c r="J12" s="46">
        <v>58.27</v>
      </c>
      <c r="K12" s="35">
        <f t="shared" si="1"/>
        <v>5.060606061</v>
      </c>
      <c r="L12" s="35">
        <f t="shared" si="2"/>
        <v>4.989904817</v>
      </c>
      <c r="M12" s="35">
        <f t="shared" si="3"/>
        <v>10.3030303</v>
      </c>
      <c r="N12" s="35">
        <f t="shared" si="4"/>
        <v>7.331000184</v>
      </c>
      <c r="O12" s="35">
        <f t="shared" si="5"/>
        <v>7.8307393</v>
      </c>
      <c r="P12" s="36">
        <f t="shared" si="6"/>
        <v>0.05025249489</v>
      </c>
    </row>
    <row r="13" ht="15.0" customHeight="1">
      <c r="A13" s="45" t="s">
        <v>117</v>
      </c>
      <c r="B13" s="46">
        <v>27.74</v>
      </c>
      <c r="C13" s="46">
        <v>17.68</v>
      </c>
      <c r="D13" s="46">
        <v>38.66</v>
      </c>
      <c r="E13" s="46">
        <v>28.62</v>
      </c>
      <c r="F13" s="46">
        <v>18.44</v>
      </c>
      <c r="G13" s="46">
        <v>38.85</v>
      </c>
      <c r="H13" s="46">
        <v>30.55</v>
      </c>
      <c r="I13" s="46">
        <v>19.04</v>
      </c>
      <c r="J13" s="46">
        <v>44.31</v>
      </c>
      <c r="K13" s="35">
        <f t="shared" si="1"/>
        <v>3.172314348</v>
      </c>
      <c r="L13" s="35">
        <f t="shared" si="2"/>
        <v>6.743535989</v>
      </c>
      <c r="M13" s="35">
        <f t="shared" si="3"/>
        <v>10.1297765</v>
      </c>
      <c r="N13" s="35">
        <f t="shared" si="4"/>
        <v>14.61458872</v>
      </c>
      <c r="O13" s="35">
        <f t="shared" si="5"/>
        <v>7.692307692</v>
      </c>
      <c r="P13" s="36">
        <f t="shared" si="6"/>
        <v>0.04942735097</v>
      </c>
    </row>
    <row r="14" ht="15.0" customHeight="1">
      <c r="A14" s="45" t="s">
        <v>105</v>
      </c>
      <c r="B14" s="46">
        <v>32.69</v>
      </c>
      <c r="C14" s="46">
        <v>19.48</v>
      </c>
      <c r="D14" s="46">
        <v>48.54</v>
      </c>
      <c r="E14" s="46">
        <v>34.74</v>
      </c>
      <c r="F14" s="46">
        <v>23.06</v>
      </c>
      <c r="G14" s="46">
        <v>50.65</v>
      </c>
      <c r="H14" s="46">
        <v>35.99</v>
      </c>
      <c r="I14" s="46">
        <v>23.19</v>
      </c>
      <c r="J14" s="46">
        <v>50.0</v>
      </c>
      <c r="K14" s="35">
        <f t="shared" si="1"/>
        <v>6.271030896</v>
      </c>
      <c r="L14" s="35">
        <f t="shared" si="2"/>
        <v>3.598157743</v>
      </c>
      <c r="M14" s="35">
        <f t="shared" si="3"/>
        <v>10.09483022</v>
      </c>
      <c r="N14" s="35">
        <f t="shared" si="4"/>
        <v>3.007828595</v>
      </c>
      <c r="O14" s="35">
        <f t="shared" si="5"/>
        <v>19.04517454</v>
      </c>
      <c r="P14" s="36">
        <f t="shared" si="6"/>
        <v>0.04926083613</v>
      </c>
    </row>
    <row r="15" ht="15.0" customHeight="1">
      <c r="A15" s="45" t="s">
        <v>58</v>
      </c>
      <c r="B15" s="46">
        <v>25.18</v>
      </c>
      <c r="C15" s="46">
        <v>18.03</v>
      </c>
      <c r="D15" s="46">
        <v>31.09</v>
      </c>
      <c r="E15" s="46">
        <v>26.68</v>
      </c>
      <c r="F15" s="46">
        <v>18.22</v>
      </c>
      <c r="G15" s="46">
        <v>34.58</v>
      </c>
      <c r="H15" s="46">
        <v>27.72</v>
      </c>
      <c r="I15" s="46">
        <v>18.36</v>
      </c>
      <c r="J15" s="46">
        <v>37.1</v>
      </c>
      <c r="K15" s="35">
        <f t="shared" si="1"/>
        <v>5.957108817</v>
      </c>
      <c r="L15" s="35">
        <f t="shared" si="2"/>
        <v>3.898050975</v>
      </c>
      <c r="M15" s="35">
        <f t="shared" si="3"/>
        <v>10.08737093</v>
      </c>
      <c r="N15" s="35">
        <f t="shared" si="4"/>
        <v>19.33097459</v>
      </c>
      <c r="O15" s="35">
        <f t="shared" si="5"/>
        <v>1.830282862</v>
      </c>
      <c r="P15" s="36">
        <f t="shared" si="6"/>
        <v>0.04922529006</v>
      </c>
    </row>
    <row r="16" ht="15.0" customHeight="1">
      <c r="A16" s="45" t="s">
        <v>56</v>
      </c>
      <c r="B16" s="46">
        <v>30.93</v>
      </c>
      <c r="C16" s="46">
        <v>18.0</v>
      </c>
      <c r="D16" s="46">
        <v>48.31</v>
      </c>
      <c r="E16" s="46">
        <v>32.64</v>
      </c>
      <c r="F16" s="46">
        <v>18.62</v>
      </c>
      <c r="G16" s="46">
        <v>50.53</v>
      </c>
      <c r="H16" s="46">
        <v>34.02</v>
      </c>
      <c r="I16" s="46">
        <v>18.4</v>
      </c>
      <c r="J16" s="46">
        <v>50.64</v>
      </c>
      <c r="K16" s="35">
        <f t="shared" si="1"/>
        <v>5.528612997</v>
      </c>
      <c r="L16" s="35">
        <f t="shared" si="2"/>
        <v>4.227941176</v>
      </c>
      <c r="M16" s="35">
        <f t="shared" si="3"/>
        <v>9.990300679</v>
      </c>
      <c r="N16" s="35">
        <f t="shared" si="4"/>
        <v>4.823018009</v>
      </c>
      <c r="O16" s="35">
        <f t="shared" si="5"/>
        <v>2.222222222</v>
      </c>
      <c r="P16" s="36">
        <f t="shared" si="6"/>
        <v>0.04876260745</v>
      </c>
    </row>
    <row r="17" ht="15.0" customHeight="1">
      <c r="A17" s="45" t="s">
        <v>44</v>
      </c>
      <c r="B17" s="46">
        <v>39.5</v>
      </c>
      <c r="C17" s="46">
        <v>23.45</v>
      </c>
      <c r="D17" s="46">
        <v>56.56</v>
      </c>
      <c r="E17" s="46">
        <v>40.15</v>
      </c>
      <c r="F17" s="46">
        <v>23.95</v>
      </c>
      <c r="G17" s="46">
        <v>55.04</v>
      </c>
      <c r="H17" s="46">
        <v>43.29</v>
      </c>
      <c r="I17" s="46">
        <v>28.09</v>
      </c>
      <c r="J17" s="46">
        <v>59.23</v>
      </c>
      <c r="K17" s="35">
        <f t="shared" si="1"/>
        <v>1.64556962</v>
      </c>
      <c r="L17" s="35">
        <f t="shared" si="2"/>
        <v>7.820672478</v>
      </c>
      <c r="M17" s="35">
        <f t="shared" si="3"/>
        <v>9.594936709</v>
      </c>
      <c r="N17" s="35">
        <f t="shared" si="4"/>
        <v>4.720650636</v>
      </c>
      <c r="O17" s="35">
        <f t="shared" si="5"/>
        <v>19.78678038</v>
      </c>
      <c r="P17" s="36">
        <f t="shared" si="6"/>
        <v>0.04687600368</v>
      </c>
    </row>
    <row r="18" ht="15.0" customHeight="1">
      <c r="A18" s="45" t="s">
        <v>134</v>
      </c>
      <c r="B18" s="46">
        <v>28.73</v>
      </c>
      <c r="C18" s="46">
        <v>17.92</v>
      </c>
      <c r="D18" s="46">
        <v>38.17</v>
      </c>
      <c r="E18" s="46">
        <v>30.3</v>
      </c>
      <c r="F18" s="46">
        <v>18.38</v>
      </c>
      <c r="G18" s="46">
        <v>39.62</v>
      </c>
      <c r="H18" s="46">
        <v>31.39</v>
      </c>
      <c r="I18" s="46">
        <v>19.2</v>
      </c>
      <c r="J18" s="46">
        <v>42.84</v>
      </c>
      <c r="K18" s="35">
        <f t="shared" si="1"/>
        <v>5.464671076</v>
      </c>
      <c r="L18" s="35">
        <f t="shared" si="2"/>
        <v>3.597359736</v>
      </c>
      <c r="M18" s="35">
        <f t="shared" si="3"/>
        <v>9.258614688</v>
      </c>
      <c r="N18" s="35">
        <f t="shared" si="4"/>
        <v>12.23473932</v>
      </c>
      <c r="O18" s="35">
        <f t="shared" si="5"/>
        <v>7.142857143</v>
      </c>
      <c r="P18" s="36">
        <f t="shared" si="6"/>
        <v>0.04526845685</v>
      </c>
    </row>
    <row r="19" ht="15.0" customHeight="1">
      <c r="A19" s="45" t="s">
        <v>80</v>
      </c>
      <c r="B19" s="46">
        <v>33.22</v>
      </c>
      <c r="C19" s="46">
        <v>19.0</v>
      </c>
      <c r="D19" s="46">
        <v>51.74</v>
      </c>
      <c r="E19" s="46">
        <v>34.8</v>
      </c>
      <c r="F19" s="46">
        <v>21.39</v>
      </c>
      <c r="G19" s="46">
        <v>52.14</v>
      </c>
      <c r="H19" s="46">
        <v>36.28</v>
      </c>
      <c r="I19" s="46">
        <v>22.33</v>
      </c>
      <c r="J19" s="46">
        <v>56.91</v>
      </c>
      <c r="K19" s="35">
        <f t="shared" si="1"/>
        <v>4.756170981</v>
      </c>
      <c r="L19" s="35">
        <f t="shared" si="2"/>
        <v>4.252873563</v>
      </c>
      <c r="M19" s="35">
        <f t="shared" si="3"/>
        <v>9.211318483</v>
      </c>
      <c r="N19" s="35">
        <f t="shared" si="4"/>
        <v>9.992269037</v>
      </c>
      <c r="O19" s="35">
        <f t="shared" si="5"/>
        <v>17.52631579</v>
      </c>
      <c r="P19" s="36">
        <f t="shared" si="6"/>
        <v>0.04504219285</v>
      </c>
    </row>
    <row r="20" ht="15.0" customHeight="1">
      <c r="A20" s="45" t="s">
        <v>118</v>
      </c>
      <c r="B20" s="46">
        <v>27.3</v>
      </c>
      <c r="C20" s="46">
        <v>18.82</v>
      </c>
      <c r="D20" s="46">
        <v>36.25</v>
      </c>
      <c r="E20" s="46">
        <v>27.72</v>
      </c>
      <c r="F20" s="46">
        <v>19.93</v>
      </c>
      <c r="G20" s="46">
        <v>37.49</v>
      </c>
      <c r="H20" s="46">
        <v>29.8</v>
      </c>
      <c r="I20" s="46">
        <v>21.31</v>
      </c>
      <c r="J20" s="46">
        <v>38.49</v>
      </c>
      <c r="K20" s="35">
        <f t="shared" si="1"/>
        <v>1.538461538</v>
      </c>
      <c r="L20" s="35">
        <f t="shared" si="2"/>
        <v>7.503607504</v>
      </c>
      <c r="M20" s="35">
        <f t="shared" si="3"/>
        <v>9.157509158</v>
      </c>
      <c r="N20" s="35">
        <f t="shared" si="4"/>
        <v>6.179310345</v>
      </c>
      <c r="O20" s="35">
        <f t="shared" si="5"/>
        <v>13.23060574</v>
      </c>
      <c r="P20" s="36">
        <f t="shared" si="6"/>
        <v>0.04478471063</v>
      </c>
    </row>
    <row r="21" ht="15.0" customHeight="1">
      <c r="A21" s="45" t="s">
        <v>100</v>
      </c>
      <c r="B21" s="46">
        <v>29.22</v>
      </c>
      <c r="C21" s="46">
        <v>16.99</v>
      </c>
      <c r="D21" s="46">
        <v>40.53</v>
      </c>
      <c r="E21" s="46">
        <v>30.5</v>
      </c>
      <c r="F21" s="46">
        <v>18.29</v>
      </c>
      <c r="G21" s="46">
        <v>43.4</v>
      </c>
      <c r="H21" s="46">
        <v>31.63</v>
      </c>
      <c r="I21" s="46">
        <v>20.76</v>
      </c>
      <c r="J21" s="46">
        <v>44.16</v>
      </c>
      <c r="K21" s="35">
        <f t="shared" si="1"/>
        <v>4.380561259</v>
      </c>
      <c r="L21" s="35">
        <f t="shared" si="2"/>
        <v>3.704918033</v>
      </c>
      <c r="M21" s="35">
        <f t="shared" si="3"/>
        <v>8.247775496</v>
      </c>
      <c r="N21" s="35">
        <f t="shared" si="4"/>
        <v>8.956328645</v>
      </c>
      <c r="O21" s="35">
        <f t="shared" si="5"/>
        <v>22.18952325</v>
      </c>
      <c r="P21" s="36">
        <f t="shared" si="6"/>
        <v>0.040421912</v>
      </c>
    </row>
    <row r="22" ht="15.0" customHeight="1">
      <c r="A22" s="45" t="s">
        <v>46</v>
      </c>
      <c r="B22" s="46">
        <v>28.57</v>
      </c>
      <c r="C22" s="46">
        <v>18.77</v>
      </c>
      <c r="D22" s="46">
        <v>37.6</v>
      </c>
      <c r="E22" s="46">
        <v>29.58</v>
      </c>
      <c r="F22" s="46">
        <v>21.27</v>
      </c>
      <c r="G22" s="46">
        <v>39.12</v>
      </c>
      <c r="H22" s="46">
        <v>30.88</v>
      </c>
      <c r="I22" s="46">
        <v>21.89</v>
      </c>
      <c r="J22" s="46">
        <v>43.08</v>
      </c>
      <c r="K22" s="35">
        <f t="shared" si="1"/>
        <v>3.535176759</v>
      </c>
      <c r="L22" s="35">
        <f t="shared" si="2"/>
        <v>4.394861393</v>
      </c>
      <c r="M22" s="35">
        <f t="shared" si="3"/>
        <v>8.08540427</v>
      </c>
      <c r="N22" s="35">
        <f t="shared" si="4"/>
        <v>14.57446809</v>
      </c>
      <c r="O22" s="35">
        <f t="shared" si="5"/>
        <v>16.62226958</v>
      </c>
      <c r="P22" s="36">
        <f t="shared" si="6"/>
        <v>0.03964130483</v>
      </c>
    </row>
    <row r="23" ht="15.0" customHeight="1">
      <c r="A23" s="45" t="s">
        <v>114</v>
      </c>
      <c r="B23" s="46">
        <v>33.1</v>
      </c>
      <c r="C23" s="46">
        <v>21.22</v>
      </c>
      <c r="D23" s="46">
        <v>48.39</v>
      </c>
      <c r="E23" s="46">
        <v>34.02</v>
      </c>
      <c r="F23" s="46">
        <v>20.33</v>
      </c>
      <c r="G23" s="46">
        <v>49.94</v>
      </c>
      <c r="H23" s="46">
        <v>35.65</v>
      </c>
      <c r="I23" s="46">
        <v>20.67</v>
      </c>
      <c r="J23" s="46">
        <v>49.44</v>
      </c>
      <c r="K23" s="35">
        <f t="shared" si="1"/>
        <v>2.779456193</v>
      </c>
      <c r="L23" s="35">
        <f t="shared" si="2"/>
        <v>4.791299236</v>
      </c>
      <c r="M23" s="35">
        <f t="shared" si="3"/>
        <v>7.703927492</v>
      </c>
      <c r="N23" s="35">
        <f t="shared" si="4"/>
        <v>2.169869808</v>
      </c>
      <c r="O23" s="35">
        <f t="shared" si="5"/>
        <v>-2.591894439</v>
      </c>
      <c r="P23" s="36">
        <f t="shared" si="6"/>
        <v>0.03780502741</v>
      </c>
    </row>
    <row r="24" ht="15.0" customHeight="1">
      <c r="A24" s="45" t="s">
        <v>76</v>
      </c>
      <c r="B24" s="46">
        <v>27.88</v>
      </c>
      <c r="C24" s="46">
        <v>17.38</v>
      </c>
      <c r="D24" s="46">
        <v>37.0</v>
      </c>
      <c r="E24" s="46">
        <v>28.62</v>
      </c>
      <c r="F24" s="46">
        <v>18.53</v>
      </c>
      <c r="G24" s="46">
        <v>37.45</v>
      </c>
      <c r="H24" s="46">
        <v>29.98</v>
      </c>
      <c r="I24" s="46">
        <v>18.63</v>
      </c>
      <c r="J24" s="46">
        <v>39.33</v>
      </c>
      <c r="K24" s="35">
        <f t="shared" si="1"/>
        <v>2.654232425</v>
      </c>
      <c r="L24" s="35">
        <f t="shared" si="2"/>
        <v>4.751921733</v>
      </c>
      <c r="M24" s="35">
        <f t="shared" si="3"/>
        <v>7.532281205</v>
      </c>
      <c r="N24" s="35">
        <f t="shared" si="4"/>
        <v>6.297297297</v>
      </c>
      <c r="O24" s="35">
        <f t="shared" si="5"/>
        <v>7.192174914</v>
      </c>
      <c r="P24" s="36">
        <f t="shared" si="6"/>
        <v>0.03697772978</v>
      </c>
    </row>
    <row r="25" ht="15.0" customHeight="1">
      <c r="A25" s="45" t="s">
        <v>48</v>
      </c>
      <c r="B25" s="46">
        <v>23.94</v>
      </c>
      <c r="C25" s="46">
        <v>15.63</v>
      </c>
      <c r="D25" s="46">
        <v>31.77</v>
      </c>
      <c r="E25" s="46">
        <v>25.41</v>
      </c>
      <c r="F25" s="46">
        <v>17.06</v>
      </c>
      <c r="G25" s="46">
        <v>35.13</v>
      </c>
      <c r="H25" s="46">
        <v>25.71</v>
      </c>
      <c r="I25" s="46">
        <v>16.79</v>
      </c>
      <c r="J25" s="46">
        <v>35.8</v>
      </c>
      <c r="K25" s="35">
        <f t="shared" si="1"/>
        <v>6.140350877</v>
      </c>
      <c r="L25" s="35">
        <f t="shared" si="2"/>
        <v>1.180637544</v>
      </c>
      <c r="M25" s="35">
        <f t="shared" si="3"/>
        <v>7.393483709</v>
      </c>
      <c r="N25" s="35">
        <f t="shared" si="4"/>
        <v>12.68492288</v>
      </c>
      <c r="O25" s="35">
        <f t="shared" si="5"/>
        <v>7.42162508</v>
      </c>
      <c r="P25" s="36">
        <f t="shared" si="6"/>
        <v>0.0363082732</v>
      </c>
    </row>
    <row r="26" ht="15.0" customHeight="1">
      <c r="A26" s="45" t="s">
        <v>123</v>
      </c>
      <c r="B26" s="46">
        <v>30.94</v>
      </c>
      <c r="C26" s="46">
        <v>18.0</v>
      </c>
      <c r="D26" s="46">
        <v>44.1</v>
      </c>
      <c r="E26" s="46">
        <v>31.71</v>
      </c>
      <c r="F26" s="46">
        <v>18.13</v>
      </c>
      <c r="G26" s="46">
        <v>45.01</v>
      </c>
      <c r="H26" s="46">
        <v>33.09</v>
      </c>
      <c r="I26" s="46">
        <v>19.59</v>
      </c>
      <c r="J26" s="46">
        <v>47.73</v>
      </c>
      <c r="K26" s="35">
        <f t="shared" si="1"/>
        <v>2.488687783</v>
      </c>
      <c r="L26" s="35">
        <f t="shared" si="2"/>
        <v>4.351939451</v>
      </c>
      <c r="M26" s="35">
        <f t="shared" si="3"/>
        <v>6.94893342</v>
      </c>
      <c r="N26" s="35">
        <f t="shared" si="4"/>
        <v>8.231292517</v>
      </c>
      <c r="O26" s="35">
        <f t="shared" si="5"/>
        <v>8.833333333</v>
      </c>
      <c r="P26" s="36">
        <f t="shared" si="6"/>
        <v>0.03416117419</v>
      </c>
    </row>
    <row r="27" ht="15.0" customHeight="1">
      <c r="A27" s="45" t="s">
        <v>94</v>
      </c>
      <c r="B27" s="46">
        <v>28.79</v>
      </c>
      <c r="C27" s="46">
        <v>18.39</v>
      </c>
      <c r="D27" s="46">
        <v>42.0</v>
      </c>
      <c r="E27" s="46">
        <v>29.76</v>
      </c>
      <c r="F27" s="46">
        <v>18.65</v>
      </c>
      <c r="G27" s="46">
        <v>43.78</v>
      </c>
      <c r="H27" s="46">
        <v>30.75</v>
      </c>
      <c r="I27" s="46">
        <v>19.42</v>
      </c>
      <c r="J27" s="46">
        <v>45.21</v>
      </c>
      <c r="K27" s="35">
        <f t="shared" si="1"/>
        <v>3.369225425</v>
      </c>
      <c r="L27" s="35">
        <f t="shared" si="2"/>
        <v>3.326612903</v>
      </c>
      <c r="M27" s="35">
        <f t="shared" si="3"/>
        <v>6.807919416</v>
      </c>
      <c r="N27" s="35">
        <f t="shared" si="4"/>
        <v>7.642857143</v>
      </c>
      <c r="O27" s="35">
        <f t="shared" si="5"/>
        <v>5.600870038</v>
      </c>
      <c r="P27" s="36">
        <f t="shared" si="6"/>
        <v>0.03347916968</v>
      </c>
    </row>
    <row r="28" ht="15.0" customHeight="1">
      <c r="A28" s="45" t="s">
        <v>112</v>
      </c>
      <c r="B28" s="46">
        <v>26.61</v>
      </c>
      <c r="C28" s="46">
        <v>17.81</v>
      </c>
      <c r="D28" s="46">
        <v>35.83</v>
      </c>
      <c r="E28" s="46">
        <v>28.09</v>
      </c>
      <c r="F28" s="46">
        <v>19.19</v>
      </c>
      <c r="G28" s="46">
        <v>36.65</v>
      </c>
      <c r="H28" s="46">
        <v>28.38</v>
      </c>
      <c r="I28" s="46">
        <v>21.31</v>
      </c>
      <c r="J28" s="46">
        <v>37.41</v>
      </c>
      <c r="K28" s="35">
        <f t="shared" si="1"/>
        <v>5.561818865</v>
      </c>
      <c r="L28" s="35">
        <f t="shared" si="2"/>
        <v>1.03239587</v>
      </c>
      <c r="M28" s="35">
        <f t="shared" si="3"/>
        <v>6.651634724</v>
      </c>
      <c r="N28" s="35">
        <f t="shared" si="4"/>
        <v>4.409712531</v>
      </c>
      <c r="O28" s="35">
        <f t="shared" si="5"/>
        <v>19.65188097</v>
      </c>
      <c r="P28" s="36">
        <f t="shared" si="6"/>
        <v>0.03272278334</v>
      </c>
    </row>
    <row r="29" ht="15.0" customHeight="1">
      <c r="A29" s="45" t="s">
        <v>108</v>
      </c>
      <c r="B29" s="46">
        <v>42.61</v>
      </c>
      <c r="C29" s="46">
        <v>23.53</v>
      </c>
      <c r="D29" s="46">
        <v>63.27</v>
      </c>
      <c r="E29" s="46">
        <v>45.12</v>
      </c>
      <c r="F29" s="46">
        <v>26.35</v>
      </c>
      <c r="G29" s="46">
        <v>64.09</v>
      </c>
      <c r="H29" s="46">
        <v>45.42</v>
      </c>
      <c r="I29" s="46">
        <v>25.08</v>
      </c>
      <c r="J29" s="46">
        <v>64.4</v>
      </c>
      <c r="K29" s="35">
        <f t="shared" si="1"/>
        <v>5.890636001</v>
      </c>
      <c r="L29" s="35">
        <f t="shared" si="2"/>
        <v>0.664893617</v>
      </c>
      <c r="M29" s="35">
        <f t="shared" si="3"/>
        <v>6.594696081</v>
      </c>
      <c r="N29" s="35">
        <f t="shared" si="4"/>
        <v>1.785996523</v>
      </c>
      <c r="O29" s="35">
        <f t="shared" si="5"/>
        <v>6.587335317</v>
      </c>
      <c r="P29" s="36">
        <f t="shared" si="6"/>
        <v>0.03244707409</v>
      </c>
    </row>
    <row r="30" ht="15.0" customHeight="1">
      <c r="A30" s="45" t="s">
        <v>90</v>
      </c>
      <c r="B30" s="46">
        <v>32.62</v>
      </c>
      <c r="C30" s="46">
        <v>18.07</v>
      </c>
      <c r="D30" s="46">
        <v>47.13</v>
      </c>
      <c r="E30" s="46">
        <v>34.24</v>
      </c>
      <c r="F30" s="46">
        <v>18.87</v>
      </c>
      <c r="G30" s="46">
        <v>48.85</v>
      </c>
      <c r="H30" s="46">
        <v>34.77</v>
      </c>
      <c r="I30" s="46">
        <v>21.09</v>
      </c>
      <c r="J30" s="46">
        <v>50.03</v>
      </c>
      <c r="K30" s="35">
        <f t="shared" si="1"/>
        <v>4.966278357</v>
      </c>
      <c r="L30" s="35">
        <f t="shared" si="2"/>
        <v>1.547897196</v>
      </c>
      <c r="M30" s="35">
        <f t="shared" si="3"/>
        <v>6.591048437</v>
      </c>
      <c r="N30" s="35">
        <f t="shared" si="4"/>
        <v>6.153193295</v>
      </c>
      <c r="O30" s="35">
        <f t="shared" si="5"/>
        <v>16.71278362</v>
      </c>
      <c r="P30" s="36">
        <f t="shared" si="6"/>
        <v>0.0324294089</v>
      </c>
    </row>
    <row r="31" ht="15.0" customHeight="1">
      <c r="A31" s="45" t="s">
        <v>119</v>
      </c>
      <c r="B31" s="46">
        <v>28.72</v>
      </c>
      <c r="C31" s="46">
        <v>17.37</v>
      </c>
      <c r="D31" s="46">
        <v>39.82</v>
      </c>
      <c r="E31" s="46">
        <v>30.21</v>
      </c>
      <c r="F31" s="46">
        <v>17.83</v>
      </c>
      <c r="G31" s="46">
        <v>42.71</v>
      </c>
      <c r="H31" s="46">
        <v>30.49</v>
      </c>
      <c r="I31" s="46">
        <v>18.22</v>
      </c>
      <c r="J31" s="46">
        <v>44.59</v>
      </c>
      <c r="K31" s="35">
        <f t="shared" si="1"/>
        <v>5.188022284</v>
      </c>
      <c r="L31" s="35">
        <f t="shared" si="2"/>
        <v>0.9268454154</v>
      </c>
      <c r="M31" s="35">
        <f t="shared" si="3"/>
        <v>6.162952646</v>
      </c>
      <c r="N31" s="35">
        <f t="shared" si="4"/>
        <v>11.97890507</v>
      </c>
      <c r="O31" s="35">
        <f t="shared" si="5"/>
        <v>4.893494531</v>
      </c>
      <c r="P31" s="36">
        <f t="shared" si="6"/>
        <v>0.0303540782</v>
      </c>
    </row>
    <row r="32" ht="15.0" customHeight="1">
      <c r="A32" s="45" t="s">
        <v>111</v>
      </c>
      <c r="B32" s="46">
        <v>25.78</v>
      </c>
      <c r="C32" s="46">
        <v>18.42</v>
      </c>
      <c r="D32" s="46">
        <v>31.92</v>
      </c>
      <c r="E32" s="46">
        <v>26.62</v>
      </c>
      <c r="F32" s="46">
        <v>18.61</v>
      </c>
      <c r="G32" s="46">
        <v>34.7</v>
      </c>
      <c r="H32" s="46">
        <v>27.33</v>
      </c>
      <c r="I32" s="46">
        <v>19.29</v>
      </c>
      <c r="J32" s="46">
        <v>36.09</v>
      </c>
      <c r="K32" s="35">
        <f t="shared" si="1"/>
        <v>3.258339798</v>
      </c>
      <c r="L32" s="35">
        <f t="shared" si="2"/>
        <v>2.667167543</v>
      </c>
      <c r="M32" s="35">
        <f t="shared" si="3"/>
        <v>6.012412723</v>
      </c>
      <c r="N32" s="35">
        <f t="shared" si="4"/>
        <v>13.06390977</v>
      </c>
      <c r="O32" s="35">
        <f t="shared" si="5"/>
        <v>4.723127036</v>
      </c>
      <c r="P32" s="36">
        <f t="shared" si="6"/>
        <v>0.02962329385</v>
      </c>
    </row>
    <row r="33" ht="15.0" customHeight="1">
      <c r="A33" s="45" t="s">
        <v>52</v>
      </c>
      <c r="B33" s="46">
        <v>30.17</v>
      </c>
      <c r="C33" s="46">
        <v>18.83</v>
      </c>
      <c r="D33" s="46">
        <v>40.75</v>
      </c>
      <c r="E33" s="46">
        <v>31.07</v>
      </c>
      <c r="F33" s="46">
        <v>20.37</v>
      </c>
      <c r="G33" s="46">
        <v>43.33</v>
      </c>
      <c r="H33" s="46">
        <v>31.88</v>
      </c>
      <c r="I33" s="46">
        <v>21.88</v>
      </c>
      <c r="J33" s="46">
        <v>45.27</v>
      </c>
      <c r="K33" s="35">
        <f t="shared" si="1"/>
        <v>2.983095791</v>
      </c>
      <c r="L33" s="35">
        <f t="shared" si="2"/>
        <v>2.607016415</v>
      </c>
      <c r="M33" s="35">
        <f t="shared" si="3"/>
        <v>5.667882002</v>
      </c>
      <c r="N33" s="35">
        <f t="shared" si="4"/>
        <v>11.09202454</v>
      </c>
      <c r="O33" s="35">
        <f t="shared" si="5"/>
        <v>16.19755709</v>
      </c>
      <c r="P33" s="36">
        <f t="shared" si="6"/>
        <v>0.02794884115</v>
      </c>
    </row>
    <row r="34" ht="15.0" customHeight="1">
      <c r="A34" s="45" t="s">
        <v>42</v>
      </c>
      <c r="B34" s="46">
        <v>26.2</v>
      </c>
      <c r="C34" s="46">
        <v>17.46</v>
      </c>
      <c r="D34" s="46">
        <v>36.02</v>
      </c>
      <c r="E34" s="46">
        <v>27.09</v>
      </c>
      <c r="F34" s="46">
        <v>17.82</v>
      </c>
      <c r="G34" s="46">
        <v>36.73</v>
      </c>
      <c r="H34" s="46">
        <v>27.65</v>
      </c>
      <c r="I34" s="46">
        <v>18.09</v>
      </c>
      <c r="J34" s="46">
        <v>37.61</v>
      </c>
      <c r="K34" s="35">
        <f t="shared" si="1"/>
        <v>3.396946565</v>
      </c>
      <c r="L34" s="35">
        <f t="shared" si="2"/>
        <v>2.067183463</v>
      </c>
      <c r="M34" s="35">
        <f t="shared" si="3"/>
        <v>5.534351145</v>
      </c>
      <c r="N34" s="35">
        <f t="shared" si="4"/>
        <v>4.414214325</v>
      </c>
      <c r="O34" s="35">
        <f t="shared" si="5"/>
        <v>3.608247423</v>
      </c>
      <c r="P34" s="36">
        <f t="shared" si="6"/>
        <v>0.02729913436</v>
      </c>
    </row>
    <row r="35" ht="15.0" customHeight="1">
      <c r="A35" s="45" t="s">
        <v>60</v>
      </c>
      <c r="B35" s="46">
        <v>27.85</v>
      </c>
      <c r="C35" s="46">
        <v>17.75</v>
      </c>
      <c r="D35" s="46">
        <v>38.47</v>
      </c>
      <c r="E35" s="46">
        <v>29.61</v>
      </c>
      <c r="F35" s="46">
        <v>17.94</v>
      </c>
      <c r="G35" s="46">
        <v>41.65</v>
      </c>
      <c r="H35" s="46">
        <v>29.37</v>
      </c>
      <c r="I35" s="46">
        <v>17.88</v>
      </c>
      <c r="J35" s="46">
        <v>40.39</v>
      </c>
      <c r="K35" s="35">
        <f t="shared" si="1"/>
        <v>6.31956912</v>
      </c>
      <c r="L35" s="35">
        <f t="shared" si="2"/>
        <v>-0.8105369807</v>
      </c>
      <c r="M35" s="35">
        <f t="shared" si="3"/>
        <v>5.457809695</v>
      </c>
      <c r="N35" s="35">
        <f t="shared" si="4"/>
        <v>4.990902002</v>
      </c>
      <c r="O35" s="35">
        <f t="shared" si="5"/>
        <v>0.7323943662</v>
      </c>
      <c r="P35" s="36">
        <f t="shared" si="6"/>
        <v>0.02692652948</v>
      </c>
    </row>
    <row r="36" ht="15.0" customHeight="1">
      <c r="A36" s="45" t="s">
        <v>62</v>
      </c>
      <c r="B36" s="46">
        <v>42.44</v>
      </c>
      <c r="C36" s="46">
        <v>21.2</v>
      </c>
      <c r="D36" s="46">
        <v>57.0</v>
      </c>
      <c r="E36" s="46">
        <v>41.68</v>
      </c>
      <c r="F36" s="46">
        <v>21.14</v>
      </c>
      <c r="G36" s="46">
        <v>58.2</v>
      </c>
      <c r="H36" s="46">
        <v>44.65</v>
      </c>
      <c r="I36" s="46">
        <v>21.99</v>
      </c>
      <c r="J36" s="46">
        <v>59.9</v>
      </c>
      <c r="K36" s="35">
        <f t="shared" si="1"/>
        <v>-1.790763431</v>
      </c>
      <c r="L36" s="35">
        <f t="shared" si="2"/>
        <v>7.12571977</v>
      </c>
      <c r="M36" s="35">
        <f t="shared" si="3"/>
        <v>5.207351555</v>
      </c>
      <c r="N36" s="35">
        <f t="shared" si="4"/>
        <v>5.087719298</v>
      </c>
      <c r="O36" s="35">
        <f t="shared" si="5"/>
        <v>3.726415094</v>
      </c>
      <c r="P36" s="36">
        <f t="shared" si="6"/>
        <v>0.02570634957</v>
      </c>
    </row>
    <row r="37" ht="15.0" customHeight="1">
      <c r="A37" s="45" t="s">
        <v>120</v>
      </c>
      <c r="B37" s="46">
        <v>27.09</v>
      </c>
      <c r="C37" s="46">
        <v>17.71</v>
      </c>
      <c r="D37" s="46">
        <v>36.62</v>
      </c>
      <c r="E37" s="46">
        <v>27.52</v>
      </c>
      <c r="F37" s="46">
        <v>17.87</v>
      </c>
      <c r="G37" s="46">
        <v>37.55</v>
      </c>
      <c r="H37" s="46">
        <v>28.5</v>
      </c>
      <c r="I37" s="46">
        <v>18.23</v>
      </c>
      <c r="J37" s="46">
        <v>38.61</v>
      </c>
      <c r="K37" s="35">
        <f t="shared" si="1"/>
        <v>1.587301587</v>
      </c>
      <c r="L37" s="35">
        <f t="shared" si="2"/>
        <v>3.561046512</v>
      </c>
      <c r="M37" s="35">
        <f t="shared" si="3"/>
        <v>5.204872647</v>
      </c>
      <c r="N37" s="35">
        <f t="shared" si="4"/>
        <v>5.434188968</v>
      </c>
      <c r="O37" s="35">
        <f t="shared" si="5"/>
        <v>2.936194241</v>
      </c>
      <c r="P37" s="36">
        <f t="shared" si="6"/>
        <v>0.02569426559</v>
      </c>
    </row>
    <row r="38" ht="15.0" customHeight="1">
      <c r="A38" s="45" t="s">
        <v>121</v>
      </c>
      <c r="B38" s="46">
        <v>31.12</v>
      </c>
      <c r="C38" s="46">
        <v>18.3</v>
      </c>
      <c r="D38" s="46">
        <v>50.56</v>
      </c>
      <c r="E38" s="46">
        <v>32.03</v>
      </c>
      <c r="F38" s="46">
        <v>18.45</v>
      </c>
      <c r="G38" s="46">
        <v>53.23</v>
      </c>
      <c r="H38" s="46">
        <v>32.62</v>
      </c>
      <c r="I38" s="46">
        <v>19.61</v>
      </c>
      <c r="J38" s="46">
        <v>50.83</v>
      </c>
      <c r="K38" s="35">
        <f t="shared" si="1"/>
        <v>2.924164524</v>
      </c>
      <c r="L38" s="35">
        <f t="shared" si="2"/>
        <v>1.842023103</v>
      </c>
      <c r="M38" s="35">
        <f t="shared" si="3"/>
        <v>4.820051414</v>
      </c>
      <c r="N38" s="35">
        <f t="shared" si="4"/>
        <v>0.5340189873</v>
      </c>
      <c r="O38" s="35">
        <f t="shared" si="5"/>
        <v>7.158469945</v>
      </c>
      <c r="P38" s="36">
        <f t="shared" si="6"/>
        <v>0.02381664088</v>
      </c>
    </row>
    <row r="39" ht="15.0" customHeight="1">
      <c r="A39" s="45" t="s">
        <v>74</v>
      </c>
      <c r="B39" s="46">
        <v>28.18</v>
      </c>
      <c r="C39" s="46">
        <v>17.15</v>
      </c>
      <c r="D39" s="46">
        <v>38.71</v>
      </c>
      <c r="E39" s="46">
        <v>29.17</v>
      </c>
      <c r="F39" s="46">
        <v>17.85</v>
      </c>
      <c r="G39" s="46">
        <v>39.85</v>
      </c>
      <c r="H39" s="46">
        <v>29.52</v>
      </c>
      <c r="I39" s="46">
        <v>17.84</v>
      </c>
      <c r="J39" s="46">
        <v>40.99</v>
      </c>
      <c r="K39" s="35">
        <f t="shared" si="1"/>
        <v>3.513129879</v>
      </c>
      <c r="L39" s="35">
        <f t="shared" si="2"/>
        <v>1.199862873</v>
      </c>
      <c r="M39" s="35">
        <f t="shared" si="3"/>
        <v>4.755145493</v>
      </c>
      <c r="N39" s="35">
        <f t="shared" si="4"/>
        <v>5.889950917</v>
      </c>
      <c r="O39" s="35">
        <f t="shared" si="5"/>
        <v>4.023323615</v>
      </c>
      <c r="P39" s="36">
        <f t="shared" si="6"/>
        <v>0.02349961159</v>
      </c>
    </row>
    <row r="40" ht="15.0" customHeight="1">
      <c r="A40" s="45" t="s">
        <v>66</v>
      </c>
      <c r="B40" s="46">
        <v>42.33</v>
      </c>
      <c r="C40" s="46">
        <v>23.16</v>
      </c>
      <c r="D40" s="46">
        <v>55.93</v>
      </c>
      <c r="E40" s="46">
        <v>42.88</v>
      </c>
      <c r="F40" s="46">
        <v>23.45</v>
      </c>
      <c r="G40" s="46">
        <v>57.75</v>
      </c>
      <c r="H40" s="46">
        <v>44.34</v>
      </c>
      <c r="I40" s="46">
        <v>23.67</v>
      </c>
      <c r="J40" s="46">
        <v>59.45</v>
      </c>
      <c r="K40" s="35">
        <f t="shared" si="1"/>
        <v>1.299314907</v>
      </c>
      <c r="L40" s="35">
        <f t="shared" si="2"/>
        <v>3.404850746</v>
      </c>
      <c r="M40" s="35">
        <f t="shared" si="3"/>
        <v>4.748405386</v>
      </c>
      <c r="N40" s="35">
        <f t="shared" si="4"/>
        <v>6.293581262</v>
      </c>
      <c r="O40" s="35">
        <f t="shared" si="5"/>
        <v>2.202072539</v>
      </c>
      <c r="P40" s="36">
        <f t="shared" si="6"/>
        <v>0.0234666843</v>
      </c>
    </row>
    <row r="41" ht="15.0" customHeight="1">
      <c r="A41" s="45" t="s">
        <v>127</v>
      </c>
      <c r="B41" s="46">
        <v>35.15</v>
      </c>
      <c r="C41" s="46">
        <v>21.0</v>
      </c>
      <c r="D41" s="46">
        <v>53.76</v>
      </c>
      <c r="E41" s="46">
        <v>35.34</v>
      </c>
      <c r="F41" s="46">
        <v>21.52</v>
      </c>
      <c r="G41" s="46">
        <v>52.56</v>
      </c>
      <c r="H41" s="46">
        <v>36.43</v>
      </c>
      <c r="I41" s="46">
        <v>21.92</v>
      </c>
      <c r="J41" s="46">
        <v>58.95</v>
      </c>
      <c r="K41" s="35">
        <f t="shared" si="1"/>
        <v>0.5405405405</v>
      </c>
      <c r="L41" s="35">
        <f t="shared" si="2"/>
        <v>3.084323713</v>
      </c>
      <c r="M41" s="35">
        <f t="shared" si="3"/>
        <v>3.641536273</v>
      </c>
      <c r="N41" s="35">
        <f t="shared" si="4"/>
        <v>9.654017857</v>
      </c>
      <c r="O41" s="35">
        <f t="shared" si="5"/>
        <v>4.380952381</v>
      </c>
      <c r="P41" s="36">
        <f t="shared" si="6"/>
        <v>0.01804487265</v>
      </c>
    </row>
    <row r="42" ht="15.0" customHeight="1">
      <c r="A42" s="45" t="s">
        <v>68</v>
      </c>
      <c r="B42" s="46">
        <v>32.91</v>
      </c>
      <c r="C42" s="46">
        <v>19.0</v>
      </c>
      <c r="D42" s="46">
        <v>45.03</v>
      </c>
      <c r="E42" s="46">
        <v>32.64</v>
      </c>
      <c r="F42" s="46">
        <v>19.2</v>
      </c>
      <c r="G42" s="46">
        <v>45.54</v>
      </c>
      <c r="H42" s="46">
        <v>34.05</v>
      </c>
      <c r="I42" s="46">
        <v>20.76</v>
      </c>
      <c r="J42" s="46">
        <v>47.75</v>
      </c>
      <c r="K42" s="35">
        <f t="shared" si="1"/>
        <v>-0.8204193254</v>
      </c>
      <c r="L42" s="35">
        <f t="shared" si="2"/>
        <v>4.319852941</v>
      </c>
      <c r="M42" s="35">
        <f t="shared" si="3"/>
        <v>3.463992707</v>
      </c>
      <c r="N42" s="35">
        <f t="shared" si="4"/>
        <v>6.040417499</v>
      </c>
      <c r="O42" s="35">
        <f t="shared" si="5"/>
        <v>9.263157895</v>
      </c>
      <c r="P42" s="36">
        <f t="shared" si="6"/>
        <v>0.01717251589</v>
      </c>
    </row>
    <row r="43" ht="15.0" customHeight="1">
      <c r="A43" s="45" t="s">
        <v>139</v>
      </c>
      <c r="B43" s="46">
        <v>31.58</v>
      </c>
      <c r="C43" s="46">
        <v>17.55</v>
      </c>
      <c r="D43" s="46">
        <v>42.37</v>
      </c>
      <c r="E43" s="46">
        <v>31.68</v>
      </c>
      <c r="F43" s="46">
        <v>18.43</v>
      </c>
      <c r="G43" s="46">
        <v>42.77</v>
      </c>
      <c r="H43" s="46">
        <v>32.61</v>
      </c>
      <c r="I43" s="46">
        <v>20.97</v>
      </c>
      <c r="J43" s="46">
        <v>45.74</v>
      </c>
      <c r="K43" s="35">
        <f t="shared" si="1"/>
        <v>0.3166561115</v>
      </c>
      <c r="L43" s="35">
        <f t="shared" si="2"/>
        <v>2.935606061</v>
      </c>
      <c r="M43" s="35">
        <f t="shared" si="3"/>
        <v>3.261557948</v>
      </c>
      <c r="N43" s="35">
        <f t="shared" si="4"/>
        <v>7.953740854</v>
      </c>
      <c r="O43" s="35">
        <f t="shared" si="5"/>
        <v>19.48717949</v>
      </c>
      <c r="P43" s="36">
        <f t="shared" si="6"/>
        <v>0.016176943</v>
      </c>
    </row>
    <row r="44" ht="15.0" customHeight="1">
      <c r="A44" s="45" t="s">
        <v>86</v>
      </c>
      <c r="B44" s="46">
        <v>37.88</v>
      </c>
      <c r="C44" s="46">
        <v>22.57</v>
      </c>
      <c r="D44" s="46">
        <v>52.63</v>
      </c>
      <c r="E44" s="46">
        <v>39.92</v>
      </c>
      <c r="F44" s="46">
        <v>22.82</v>
      </c>
      <c r="G44" s="46">
        <v>54.95</v>
      </c>
      <c r="H44" s="46">
        <v>38.86</v>
      </c>
      <c r="I44" s="46">
        <v>22.83</v>
      </c>
      <c r="J44" s="46">
        <v>57.13</v>
      </c>
      <c r="K44" s="35">
        <f t="shared" si="1"/>
        <v>5.385427666</v>
      </c>
      <c r="L44" s="35">
        <f t="shared" si="2"/>
        <v>-2.655310621</v>
      </c>
      <c r="M44" s="35">
        <f t="shared" si="3"/>
        <v>2.587117212</v>
      </c>
      <c r="N44" s="35">
        <f t="shared" si="4"/>
        <v>8.550256508</v>
      </c>
      <c r="O44" s="35">
        <f t="shared" si="5"/>
        <v>1.151971644</v>
      </c>
      <c r="P44" s="36">
        <f t="shared" si="6"/>
        <v>0.01285298643</v>
      </c>
    </row>
    <row r="45" ht="15.0" customHeight="1">
      <c r="A45" s="45" t="s">
        <v>141</v>
      </c>
      <c r="B45" s="46">
        <v>34.65</v>
      </c>
      <c r="C45" s="46">
        <v>21.43</v>
      </c>
      <c r="D45" s="46">
        <v>47.08</v>
      </c>
      <c r="E45" s="46">
        <v>34.98</v>
      </c>
      <c r="F45" s="46">
        <v>22.19</v>
      </c>
      <c r="G45" s="46">
        <v>47.67</v>
      </c>
      <c r="H45" s="46">
        <v>35.49</v>
      </c>
      <c r="I45" s="46">
        <v>21.55</v>
      </c>
      <c r="J45" s="46">
        <v>48.93</v>
      </c>
      <c r="K45" s="35">
        <f t="shared" si="1"/>
        <v>0.9523809524</v>
      </c>
      <c r="L45" s="35">
        <f t="shared" si="2"/>
        <v>1.457975986</v>
      </c>
      <c r="M45" s="35">
        <f t="shared" si="3"/>
        <v>2.424242424</v>
      </c>
      <c r="N45" s="35">
        <f t="shared" si="4"/>
        <v>3.929481733</v>
      </c>
      <c r="O45" s="35">
        <f t="shared" si="5"/>
        <v>0.5599626692</v>
      </c>
      <c r="P45" s="36">
        <f t="shared" si="6"/>
        <v>0.01204862741</v>
      </c>
    </row>
    <row r="46" ht="15.0" customHeight="1">
      <c r="A46" s="45" t="s">
        <v>50</v>
      </c>
      <c r="B46" s="46">
        <v>40.54</v>
      </c>
      <c r="C46" s="46">
        <v>22.39</v>
      </c>
      <c r="D46" s="46">
        <v>64.11</v>
      </c>
      <c r="E46" s="46">
        <v>41.24</v>
      </c>
      <c r="F46" s="46">
        <v>22.42</v>
      </c>
      <c r="G46" s="46">
        <v>65.73</v>
      </c>
      <c r="H46" s="46">
        <v>41.28</v>
      </c>
      <c r="I46" s="46">
        <v>22.5</v>
      </c>
      <c r="J46" s="46">
        <v>67.47</v>
      </c>
      <c r="K46" s="35">
        <f t="shared" si="1"/>
        <v>1.726689689</v>
      </c>
      <c r="L46" s="35">
        <f t="shared" si="2"/>
        <v>0.09699321048</v>
      </c>
      <c r="M46" s="35">
        <f t="shared" si="3"/>
        <v>1.825357671</v>
      </c>
      <c r="N46" s="35">
        <f t="shared" si="4"/>
        <v>5.240992045</v>
      </c>
      <c r="O46" s="35">
        <f t="shared" si="5"/>
        <v>0.4912907548</v>
      </c>
      <c r="P46" s="36">
        <f t="shared" si="6"/>
        <v>0.009085515065</v>
      </c>
    </row>
    <row r="47" ht="15.0" customHeight="1">
      <c r="A47" s="45" t="s">
        <v>88</v>
      </c>
      <c r="B47" s="46">
        <v>27.39</v>
      </c>
      <c r="C47" s="46">
        <v>17.57</v>
      </c>
      <c r="D47" s="46">
        <v>35.33</v>
      </c>
      <c r="E47" s="46">
        <v>26.35</v>
      </c>
      <c r="F47" s="46">
        <v>17.72</v>
      </c>
      <c r="G47" s="46">
        <v>34.87</v>
      </c>
      <c r="H47" s="46">
        <v>27.88</v>
      </c>
      <c r="I47" s="46">
        <v>18.36</v>
      </c>
      <c r="J47" s="46">
        <v>36.8</v>
      </c>
      <c r="K47" s="35">
        <f t="shared" si="1"/>
        <v>-3.797006207</v>
      </c>
      <c r="L47" s="35">
        <f t="shared" si="2"/>
        <v>5.806451613</v>
      </c>
      <c r="M47" s="35">
        <f t="shared" si="3"/>
        <v>1.788974078</v>
      </c>
      <c r="N47" s="35">
        <f t="shared" si="4"/>
        <v>4.160769884</v>
      </c>
      <c r="O47" s="35">
        <f t="shared" si="5"/>
        <v>4.496300512</v>
      </c>
      <c r="P47" s="36">
        <f t="shared" si="6"/>
        <v>0.008905218929</v>
      </c>
    </row>
    <row r="48" ht="15.0" customHeight="1">
      <c r="A48" s="45" t="s">
        <v>107</v>
      </c>
      <c r="B48" s="46">
        <v>40.17</v>
      </c>
      <c r="C48" s="46">
        <v>21.15</v>
      </c>
      <c r="D48" s="46">
        <v>62.85</v>
      </c>
      <c r="E48" s="46">
        <v>40.07</v>
      </c>
      <c r="F48" s="46">
        <v>22.66</v>
      </c>
      <c r="G48" s="46">
        <v>63.68</v>
      </c>
      <c r="H48" s="46">
        <v>40.8</v>
      </c>
      <c r="I48" s="46">
        <v>21.99</v>
      </c>
      <c r="J48" s="46">
        <v>63.29</v>
      </c>
      <c r="K48" s="35">
        <f t="shared" si="1"/>
        <v>-0.2489419965</v>
      </c>
      <c r="L48" s="35">
        <f t="shared" si="2"/>
        <v>1.821811829</v>
      </c>
      <c r="M48" s="35">
        <f t="shared" si="3"/>
        <v>1.568334578</v>
      </c>
      <c r="N48" s="35">
        <f t="shared" si="4"/>
        <v>0.7000795545</v>
      </c>
      <c r="O48" s="35">
        <f t="shared" si="5"/>
        <v>3.971631206</v>
      </c>
      <c r="P48" s="36">
        <f t="shared" si="6"/>
        <v>0.007811165735</v>
      </c>
    </row>
    <row r="49" ht="15.0" customHeight="1">
      <c r="A49" s="45" t="s">
        <v>104</v>
      </c>
      <c r="B49" s="46">
        <v>28.31</v>
      </c>
      <c r="C49" s="46">
        <v>17.83</v>
      </c>
      <c r="D49" s="46">
        <v>39.44</v>
      </c>
      <c r="E49" s="46">
        <v>28.57</v>
      </c>
      <c r="F49" s="46">
        <v>17.59</v>
      </c>
      <c r="G49" s="46">
        <v>40.61</v>
      </c>
      <c r="H49" s="46">
        <v>28.66</v>
      </c>
      <c r="I49" s="46">
        <v>17.62</v>
      </c>
      <c r="J49" s="46">
        <v>41.74</v>
      </c>
      <c r="K49" s="35">
        <f t="shared" si="1"/>
        <v>0.918403391</v>
      </c>
      <c r="L49" s="35">
        <f t="shared" si="2"/>
        <v>0.3150157508</v>
      </c>
      <c r="M49" s="35">
        <f t="shared" si="3"/>
        <v>1.236312257</v>
      </c>
      <c r="N49" s="35">
        <f t="shared" si="4"/>
        <v>5.831643002</v>
      </c>
      <c r="O49" s="35">
        <f t="shared" si="5"/>
        <v>-1.177790241</v>
      </c>
      <c r="P49" s="36">
        <f t="shared" si="6"/>
        <v>0.006162572635</v>
      </c>
    </row>
    <row r="50" ht="15.0" customHeight="1">
      <c r="A50" s="45" t="s">
        <v>82</v>
      </c>
      <c r="B50" s="46">
        <v>39.35</v>
      </c>
      <c r="C50" s="46">
        <v>22.98</v>
      </c>
      <c r="D50" s="46">
        <v>60.12</v>
      </c>
      <c r="E50" s="46">
        <v>39.49</v>
      </c>
      <c r="F50" s="46">
        <v>22.73</v>
      </c>
      <c r="G50" s="46">
        <v>59.13</v>
      </c>
      <c r="H50" s="46">
        <v>39.21</v>
      </c>
      <c r="I50" s="46">
        <v>22.59</v>
      </c>
      <c r="J50" s="46">
        <v>61.64</v>
      </c>
      <c r="K50" s="35">
        <f t="shared" si="1"/>
        <v>0.3557814485</v>
      </c>
      <c r="L50" s="35">
        <f t="shared" si="2"/>
        <v>-0.7090402634</v>
      </c>
      <c r="M50" s="35">
        <f t="shared" si="3"/>
        <v>-0.3557814485</v>
      </c>
      <c r="N50" s="35">
        <f t="shared" si="4"/>
        <v>2.52827678</v>
      </c>
      <c r="O50" s="35">
        <f t="shared" si="5"/>
        <v>-1.697127937</v>
      </c>
      <c r="P50" s="36">
        <f t="shared" si="6"/>
        <v>-0.001780492319</v>
      </c>
    </row>
    <row r="51" ht="15.0" customHeight="1">
      <c r="A51" s="45" t="s">
        <v>70</v>
      </c>
      <c r="B51" s="46">
        <v>30.68</v>
      </c>
      <c r="C51" s="46">
        <v>18.69</v>
      </c>
      <c r="D51" s="46">
        <v>40.82</v>
      </c>
      <c r="E51" s="46">
        <v>30.72</v>
      </c>
      <c r="F51" s="46">
        <v>18.73</v>
      </c>
      <c r="G51" s="46">
        <v>41.77</v>
      </c>
      <c r="H51" s="46">
        <v>30.38</v>
      </c>
      <c r="I51" s="46">
        <v>19.12</v>
      </c>
      <c r="J51" s="46">
        <v>43.02</v>
      </c>
      <c r="K51" s="35">
        <f t="shared" si="1"/>
        <v>0.1303780965</v>
      </c>
      <c r="L51" s="35">
        <f t="shared" si="2"/>
        <v>-1.106770833</v>
      </c>
      <c r="M51" s="35">
        <f t="shared" si="3"/>
        <v>-0.9778357236</v>
      </c>
      <c r="N51" s="35">
        <f t="shared" si="4"/>
        <v>5.389514944</v>
      </c>
      <c r="O51" s="35">
        <f t="shared" si="5"/>
        <v>2.300695559</v>
      </c>
      <c r="P51" s="36">
        <f t="shared" si="6"/>
        <v>-0.004901189447</v>
      </c>
    </row>
    <row r="52" ht="15.0" customHeight="1">
      <c r="A52" s="45" t="s">
        <v>115</v>
      </c>
      <c r="B52" s="46">
        <v>35.02</v>
      </c>
      <c r="C52" s="46">
        <v>20.77</v>
      </c>
      <c r="D52" s="46">
        <v>48.44</v>
      </c>
      <c r="E52" s="46">
        <v>33.81</v>
      </c>
      <c r="F52" s="46">
        <v>19.15</v>
      </c>
      <c r="G52" s="46">
        <v>48.75</v>
      </c>
      <c r="H52" s="46">
        <v>33.87</v>
      </c>
      <c r="I52" s="46">
        <v>22.33</v>
      </c>
      <c r="J52" s="46">
        <v>48.57</v>
      </c>
      <c r="K52" s="35">
        <f t="shared" si="1"/>
        <v>-3.455168475</v>
      </c>
      <c r="L52" s="35">
        <f t="shared" si="2"/>
        <v>0.1774622893</v>
      </c>
      <c r="M52" s="35">
        <f t="shared" si="3"/>
        <v>-3.283837807</v>
      </c>
      <c r="N52" s="35">
        <f t="shared" si="4"/>
        <v>0.2683732453</v>
      </c>
      <c r="O52" s="35">
        <f t="shared" si="5"/>
        <v>7.510832932</v>
      </c>
      <c r="P52" s="36">
        <f t="shared" si="6"/>
        <v>-0.01655624364</v>
      </c>
    </row>
    <row r="53" ht="15.0" customHeight="1">
      <c r="B53" s="24"/>
      <c r="C53" s="24"/>
      <c r="D53" s="24"/>
      <c r="E53" s="24"/>
      <c r="F53" s="24"/>
      <c r="G53" s="24"/>
      <c r="H53" s="24"/>
      <c r="I53" s="24"/>
      <c r="J53" s="24"/>
      <c r="M53" s="48"/>
      <c r="N53" s="48"/>
      <c r="O53" s="48"/>
      <c r="P53" s="50"/>
    </row>
    <row r="54" ht="15.0" customHeight="1">
      <c r="B54" s="24"/>
      <c r="C54" s="24"/>
      <c r="D54" s="24"/>
      <c r="E54" s="24"/>
      <c r="F54" s="24"/>
      <c r="G54" s="24"/>
      <c r="H54" s="24"/>
      <c r="I54" s="24"/>
      <c r="J54" s="24"/>
      <c r="M54" s="48"/>
      <c r="N54" s="48"/>
      <c r="O54" s="48"/>
      <c r="P54" s="50"/>
    </row>
    <row r="55" ht="15.0" customHeight="1">
      <c r="B55" s="24"/>
      <c r="C55" s="24"/>
      <c r="D55" s="24"/>
      <c r="E55" s="24"/>
      <c r="F55" s="24"/>
      <c r="G55" s="24"/>
      <c r="H55" s="24"/>
      <c r="I55" s="24"/>
      <c r="J55" s="24"/>
      <c r="M55" s="48"/>
      <c r="N55" s="48"/>
      <c r="O55" s="48"/>
      <c r="P55" s="50"/>
    </row>
    <row r="56" ht="15.0" customHeight="1">
      <c r="B56" s="24"/>
      <c r="C56" s="24"/>
      <c r="D56" s="24"/>
      <c r="E56" s="24"/>
      <c r="F56" s="24"/>
      <c r="G56" s="24"/>
      <c r="H56" s="24"/>
      <c r="I56" s="24"/>
      <c r="J56" s="24"/>
      <c r="M56" s="48"/>
      <c r="N56" s="48"/>
      <c r="O56" s="48"/>
      <c r="P56" s="50"/>
    </row>
    <row r="57" ht="15.0" customHeight="1">
      <c r="B57" s="24"/>
      <c r="C57" s="24"/>
      <c r="D57" s="24"/>
      <c r="E57" s="24"/>
      <c r="F57" s="24"/>
      <c r="G57" s="24"/>
      <c r="H57" s="24"/>
      <c r="I57" s="24"/>
      <c r="J57" s="24"/>
      <c r="M57" s="48"/>
      <c r="N57" s="48"/>
      <c r="O57" s="48"/>
      <c r="P57" s="50"/>
    </row>
    <row r="58" ht="15.0" customHeight="1">
      <c r="B58" s="24"/>
      <c r="C58" s="24"/>
      <c r="D58" s="24"/>
      <c r="E58" s="24"/>
      <c r="F58" s="24"/>
      <c r="G58" s="24"/>
      <c r="H58" s="24"/>
      <c r="I58" s="24"/>
      <c r="J58" s="24"/>
      <c r="M58" s="48"/>
      <c r="N58" s="48"/>
      <c r="O58" s="48"/>
      <c r="P58" s="50"/>
    </row>
    <row r="59" ht="15.0" customHeight="1">
      <c r="B59" s="24"/>
      <c r="C59" s="24"/>
      <c r="D59" s="24"/>
      <c r="E59" s="24"/>
      <c r="F59" s="24"/>
      <c r="G59" s="24"/>
      <c r="H59" s="24"/>
      <c r="I59" s="24"/>
      <c r="J59" s="24"/>
      <c r="M59" s="48"/>
      <c r="N59" s="48"/>
      <c r="O59" s="48"/>
      <c r="P59" s="50"/>
    </row>
    <row r="60" ht="15.0" customHeight="1">
      <c r="B60" s="24"/>
      <c r="C60" s="24"/>
      <c r="D60" s="24"/>
      <c r="E60" s="24"/>
      <c r="F60" s="24"/>
      <c r="G60" s="24"/>
      <c r="H60" s="24"/>
      <c r="I60" s="24"/>
      <c r="J60" s="24"/>
      <c r="M60" s="48"/>
      <c r="N60" s="48"/>
      <c r="O60" s="48"/>
      <c r="P60" s="50"/>
    </row>
    <row r="61" ht="15.0" customHeight="1">
      <c r="B61" s="24"/>
      <c r="C61" s="24"/>
      <c r="D61" s="24"/>
      <c r="E61" s="24"/>
      <c r="F61" s="24"/>
      <c r="G61" s="24"/>
      <c r="H61" s="24"/>
      <c r="I61" s="24"/>
      <c r="J61" s="24"/>
      <c r="M61" s="48"/>
      <c r="N61" s="48"/>
      <c r="O61" s="48"/>
      <c r="P61" s="50"/>
    </row>
    <row r="62" ht="15.0" customHeight="1">
      <c r="B62" s="24"/>
      <c r="C62" s="24"/>
      <c r="D62" s="24"/>
      <c r="E62" s="24"/>
      <c r="F62" s="24"/>
      <c r="G62" s="24"/>
      <c r="H62" s="24"/>
      <c r="I62" s="24"/>
      <c r="J62" s="24"/>
      <c r="M62" s="48"/>
      <c r="N62" s="48"/>
      <c r="O62" s="48"/>
      <c r="P62" s="50"/>
    </row>
    <row r="63" ht="15.0" customHeight="1">
      <c r="B63" s="24"/>
      <c r="C63" s="24"/>
      <c r="D63" s="24"/>
      <c r="E63" s="24"/>
      <c r="F63" s="24"/>
      <c r="G63" s="24"/>
      <c r="H63" s="24"/>
      <c r="I63" s="24"/>
      <c r="J63" s="24"/>
      <c r="M63" s="48"/>
      <c r="N63" s="48"/>
      <c r="O63" s="48"/>
      <c r="P63" s="50"/>
    </row>
    <row r="64" ht="15.0" customHeight="1">
      <c r="B64" s="24"/>
      <c r="C64" s="24"/>
      <c r="D64" s="24"/>
      <c r="E64" s="24"/>
      <c r="F64" s="24"/>
      <c r="G64" s="24"/>
      <c r="H64" s="24"/>
      <c r="I64" s="24"/>
      <c r="J64" s="24"/>
      <c r="M64" s="48"/>
      <c r="N64" s="48"/>
      <c r="O64" s="48"/>
      <c r="P64" s="50"/>
    </row>
    <row r="65" ht="15.0" customHeight="1">
      <c r="B65" s="24"/>
      <c r="C65" s="24"/>
      <c r="D65" s="24"/>
      <c r="E65" s="24"/>
      <c r="F65" s="24"/>
      <c r="G65" s="24"/>
      <c r="H65" s="24"/>
      <c r="I65" s="24"/>
      <c r="J65" s="24"/>
      <c r="M65" s="48"/>
      <c r="N65" s="48"/>
      <c r="O65" s="48"/>
      <c r="P65" s="50"/>
    </row>
    <row r="66" ht="15.0" customHeight="1">
      <c r="B66" s="24"/>
      <c r="C66" s="24"/>
      <c r="D66" s="24"/>
      <c r="E66" s="24"/>
      <c r="F66" s="24"/>
      <c r="G66" s="24"/>
      <c r="H66" s="24"/>
      <c r="I66" s="24"/>
      <c r="J66" s="24"/>
      <c r="M66" s="48"/>
      <c r="N66" s="48"/>
      <c r="O66" s="48"/>
      <c r="P66" s="50"/>
    </row>
    <row r="67" ht="15.0" customHeight="1">
      <c r="B67" s="24"/>
      <c r="C67" s="24"/>
      <c r="D67" s="24"/>
      <c r="E67" s="24"/>
      <c r="F67" s="24"/>
      <c r="G67" s="24"/>
      <c r="H67" s="24"/>
      <c r="I67" s="24"/>
      <c r="J67" s="24"/>
      <c r="M67" s="48"/>
      <c r="N67" s="48"/>
      <c r="O67" s="48"/>
      <c r="P67" s="50"/>
    </row>
    <row r="68" ht="15.0" customHeight="1">
      <c r="B68" s="24"/>
      <c r="C68" s="24"/>
      <c r="D68" s="24"/>
      <c r="E68" s="24"/>
      <c r="F68" s="24"/>
      <c r="G68" s="24"/>
      <c r="H68" s="24"/>
      <c r="I68" s="24"/>
      <c r="J68" s="24"/>
      <c r="M68" s="48"/>
      <c r="N68" s="48"/>
      <c r="O68" s="48"/>
      <c r="P68" s="50"/>
    </row>
    <row r="69" ht="15.0" customHeight="1">
      <c r="B69" s="24"/>
      <c r="C69" s="24"/>
      <c r="D69" s="24"/>
      <c r="E69" s="24"/>
      <c r="F69" s="24"/>
      <c r="G69" s="24"/>
      <c r="H69" s="24"/>
      <c r="I69" s="24"/>
      <c r="J69" s="24"/>
      <c r="M69" s="48"/>
      <c r="N69" s="48"/>
      <c r="O69" s="48"/>
      <c r="P69" s="50"/>
    </row>
    <row r="70" ht="15.0" customHeight="1">
      <c r="B70" s="24"/>
      <c r="C70" s="24"/>
      <c r="D70" s="24"/>
      <c r="E70" s="24"/>
      <c r="F70" s="24"/>
      <c r="G70" s="24"/>
      <c r="H70" s="24"/>
      <c r="I70" s="24"/>
      <c r="J70" s="24"/>
      <c r="M70" s="48"/>
      <c r="N70" s="48"/>
      <c r="O70" s="48"/>
      <c r="P70" s="50"/>
    </row>
    <row r="71" ht="15.0" customHeight="1">
      <c r="B71" s="24"/>
      <c r="C71" s="24"/>
      <c r="D71" s="24"/>
      <c r="E71" s="24"/>
      <c r="F71" s="24"/>
      <c r="G71" s="24"/>
      <c r="H71" s="24"/>
      <c r="I71" s="24"/>
      <c r="J71" s="24"/>
      <c r="M71" s="48"/>
      <c r="N71" s="48"/>
      <c r="O71" s="48"/>
      <c r="P71" s="50"/>
    </row>
    <row r="72" ht="15.0" customHeight="1">
      <c r="B72" s="24"/>
      <c r="C72" s="24"/>
      <c r="D72" s="24"/>
      <c r="E72" s="24"/>
      <c r="F72" s="24"/>
      <c r="G72" s="24"/>
      <c r="H72" s="24"/>
      <c r="I72" s="24"/>
      <c r="J72" s="24"/>
      <c r="M72" s="48"/>
      <c r="N72" s="48"/>
      <c r="O72" s="48"/>
      <c r="P72" s="50"/>
    </row>
    <row r="73" ht="15.0" customHeight="1">
      <c r="B73" s="24"/>
      <c r="C73" s="24"/>
      <c r="D73" s="24"/>
      <c r="E73" s="24"/>
      <c r="F73" s="24"/>
      <c r="G73" s="24"/>
      <c r="H73" s="24"/>
      <c r="I73" s="24"/>
      <c r="J73" s="24"/>
      <c r="M73" s="48"/>
      <c r="N73" s="48"/>
      <c r="O73" s="48"/>
      <c r="P73" s="50"/>
    </row>
    <row r="74" ht="15.0" customHeight="1">
      <c r="B74" s="24"/>
      <c r="C74" s="24"/>
      <c r="D74" s="24"/>
      <c r="E74" s="24"/>
      <c r="F74" s="24"/>
      <c r="G74" s="24"/>
      <c r="H74" s="24"/>
      <c r="I74" s="24"/>
      <c r="J74" s="24"/>
      <c r="M74" s="48"/>
      <c r="N74" s="48"/>
      <c r="O74" s="48"/>
      <c r="P74" s="50"/>
    </row>
    <row r="75" ht="15.0" customHeight="1">
      <c r="B75" s="24"/>
      <c r="C75" s="24"/>
      <c r="D75" s="24"/>
      <c r="E75" s="24"/>
      <c r="F75" s="24"/>
      <c r="G75" s="24"/>
      <c r="H75" s="24"/>
      <c r="I75" s="24"/>
      <c r="J75" s="24"/>
      <c r="M75" s="48"/>
      <c r="N75" s="48"/>
      <c r="O75" s="48"/>
      <c r="P75" s="50"/>
    </row>
    <row r="76" ht="15.0" customHeight="1">
      <c r="B76" s="24"/>
      <c r="C76" s="24"/>
      <c r="D76" s="24"/>
      <c r="E76" s="24"/>
      <c r="F76" s="24"/>
      <c r="G76" s="24"/>
      <c r="H76" s="24"/>
      <c r="I76" s="24"/>
      <c r="J76" s="24"/>
      <c r="M76" s="48"/>
      <c r="N76" s="48"/>
      <c r="O76" s="48"/>
      <c r="P76" s="50"/>
    </row>
    <row r="77" ht="15.0" customHeight="1">
      <c r="B77" s="24"/>
      <c r="C77" s="24"/>
      <c r="D77" s="24"/>
      <c r="E77" s="24"/>
      <c r="F77" s="24"/>
      <c r="G77" s="24"/>
      <c r="H77" s="24"/>
      <c r="I77" s="24"/>
      <c r="J77" s="24"/>
      <c r="M77" s="48"/>
      <c r="N77" s="48"/>
      <c r="O77" s="48"/>
      <c r="P77" s="50"/>
    </row>
    <row r="78" ht="15.0" customHeight="1">
      <c r="B78" s="24"/>
      <c r="C78" s="24"/>
      <c r="D78" s="24"/>
      <c r="E78" s="24"/>
      <c r="F78" s="24"/>
      <c r="G78" s="24"/>
      <c r="H78" s="24"/>
      <c r="I78" s="24"/>
      <c r="J78" s="24"/>
      <c r="M78" s="48"/>
      <c r="N78" s="48"/>
      <c r="O78" s="48"/>
      <c r="P78" s="50"/>
    </row>
    <row r="79" ht="15.0" customHeight="1">
      <c r="B79" s="24"/>
      <c r="C79" s="24"/>
      <c r="D79" s="24"/>
      <c r="E79" s="24"/>
      <c r="F79" s="24"/>
      <c r="G79" s="24"/>
      <c r="H79" s="24"/>
      <c r="I79" s="24"/>
      <c r="J79" s="24"/>
      <c r="M79" s="48"/>
      <c r="N79" s="48"/>
      <c r="O79" s="48"/>
      <c r="P79" s="50"/>
    </row>
    <row r="80" ht="15.0" customHeight="1">
      <c r="B80" s="24"/>
      <c r="C80" s="24"/>
      <c r="D80" s="24"/>
      <c r="E80" s="24"/>
      <c r="F80" s="24"/>
      <c r="G80" s="24"/>
      <c r="H80" s="24"/>
      <c r="I80" s="24"/>
      <c r="J80" s="24"/>
      <c r="M80" s="48"/>
      <c r="N80" s="48"/>
      <c r="O80" s="48"/>
      <c r="P80" s="50"/>
    </row>
    <row r="81" ht="15.0" customHeight="1">
      <c r="B81" s="24"/>
      <c r="C81" s="24"/>
      <c r="D81" s="24"/>
      <c r="E81" s="24"/>
      <c r="F81" s="24"/>
      <c r="G81" s="24"/>
      <c r="H81" s="24"/>
      <c r="I81" s="24"/>
      <c r="J81" s="24"/>
      <c r="M81" s="48"/>
      <c r="N81" s="48"/>
      <c r="O81" s="48"/>
      <c r="P81" s="50"/>
    </row>
    <row r="82" ht="15.0" customHeight="1">
      <c r="B82" s="24"/>
      <c r="C82" s="24"/>
      <c r="D82" s="24"/>
      <c r="E82" s="24"/>
      <c r="F82" s="24"/>
      <c r="G82" s="24"/>
      <c r="H82" s="24"/>
      <c r="I82" s="24"/>
      <c r="J82" s="24"/>
      <c r="M82" s="48"/>
      <c r="N82" s="48"/>
      <c r="O82" s="48"/>
      <c r="P82" s="50"/>
    </row>
    <row r="83" ht="15.0" customHeight="1">
      <c r="B83" s="24"/>
      <c r="C83" s="24"/>
      <c r="D83" s="24"/>
      <c r="E83" s="24"/>
      <c r="F83" s="24"/>
      <c r="G83" s="24"/>
      <c r="H83" s="24"/>
      <c r="I83" s="24"/>
      <c r="J83" s="24"/>
      <c r="M83" s="48"/>
      <c r="N83" s="48"/>
      <c r="O83" s="48"/>
      <c r="P83" s="50"/>
    </row>
    <row r="84" ht="15.0" customHeight="1">
      <c r="B84" s="24"/>
      <c r="C84" s="24"/>
      <c r="D84" s="24"/>
      <c r="E84" s="24"/>
      <c r="F84" s="24"/>
      <c r="G84" s="24"/>
      <c r="H84" s="24"/>
      <c r="I84" s="24"/>
      <c r="J84" s="24"/>
      <c r="M84" s="48"/>
      <c r="N84" s="48"/>
      <c r="O84" s="48"/>
      <c r="P84" s="50"/>
    </row>
    <row r="85" ht="15.0" customHeight="1">
      <c r="B85" s="24"/>
      <c r="C85" s="24"/>
      <c r="D85" s="24"/>
      <c r="E85" s="24"/>
      <c r="F85" s="24"/>
      <c r="G85" s="24"/>
      <c r="H85" s="24"/>
      <c r="I85" s="24"/>
      <c r="J85" s="24"/>
      <c r="M85" s="48"/>
      <c r="N85" s="48"/>
      <c r="O85" s="48"/>
      <c r="P85" s="50"/>
    </row>
    <row r="86" ht="15.0" customHeight="1">
      <c r="B86" s="24"/>
      <c r="C86" s="24"/>
      <c r="D86" s="24"/>
      <c r="E86" s="24"/>
      <c r="F86" s="24"/>
      <c r="G86" s="24"/>
      <c r="H86" s="24"/>
      <c r="I86" s="24"/>
      <c r="J86" s="24"/>
      <c r="M86" s="48"/>
      <c r="N86" s="48"/>
      <c r="O86" s="48"/>
      <c r="P86" s="50"/>
    </row>
    <row r="87" ht="15.0" customHeight="1">
      <c r="B87" s="24"/>
      <c r="C87" s="24"/>
      <c r="D87" s="24"/>
      <c r="E87" s="24"/>
      <c r="F87" s="24"/>
      <c r="G87" s="24"/>
      <c r="H87" s="24"/>
      <c r="I87" s="24"/>
      <c r="J87" s="24"/>
      <c r="M87" s="48"/>
      <c r="N87" s="48"/>
      <c r="O87" s="48"/>
      <c r="P87" s="50"/>
    </row>
    <row r="88" ht="15.0" customHeight="1">
      <c r="B88" s="24"/>
      <c r="C88" s="24"/>
      <c r="D88" s="24"/>
      <c r="E88" s="24"/>
      <c r="F88" s="24"/>
      <c r="G88" s="24"/>
      <c r="H88" s="24"/>
      <c r="I88" s="24"/>
      <c r="J88" s="24"/>
      <c r="M88" s="48"/>
      <c r="N88" s="48"/>
      <c r="O88" s="48"/>
      <c r="P88" s="50"/>
    </row>
    <row r="89" ht="15.0" customHeight="1">
      <c r="B89" s="24"/>
      <c r="C89" s="24"/>
      <c r="D89" s="24"/>
      <c r="E89" s="24"/>
      <c r="F89" s="24"/>
      <c r="G89" s="24"/>
      <c r="H89" s="24"/>
      <c r="I89" s="24"/>
      <c r="J89" s="24"/>
      <c r="M89" s="48"/>
      <c r="N89" s="48"/>
      <c r="O89" s="48"/>
      <c r="P89" s="50"/>
    </row>
    <row r="90" ht="15.0" customHeight="1">
      <c r="B90" s="24"/>
      <c r="C90" s="24"/>
      <c r="D90" s="24"/>
      <c r="E90" s="24"/>
      <c r="F90" s="24"/>
      <c r="G90" s="24"/>
      <c r="H90" s="24"/>
      <c r="I90" s="24"/>
      <c r="J90" s="24"/>
      <c r="M90" s="48"/>
      <c r="N90" s="48"/>
      <c r="O90" s="48"/>
      <c r="P90" s="50"/>
    </row>
    <row r="91" ht="15.0" customHeight="1">
      <c r="B91" s="24"/>
      <c r="C91" s="24"/>
      <c r="D91" s="24"/>
      <c r="E91" s="24"/>
      <c r="F91" s="24"/>
      <c r="G91" s="24"/>
      <c r="H91" s="24"/>
      <c r="I91" s="24"/>
      <c r="J91" s="24"/>
      <c r="M91" s="48"/>
      <c r="N91" s="48"/>
      <c r="O91" s="48"/>
      <c r="P91" s="50"/>
    </row>
    <row r="92" ht="15.0" customHeight="1">
      <c r="B92" s="24"/>
      <c r="C92" s="24"/>
      <c r="D92" s="24"/>
      <c r="E92" s="24"/>
      <c r="F92" s="24"/>
      <c r="G92" s="24"/>
      <c r="H92" s="24"/>
      <c r="I92" s="24"/>
      <c r="J92" s="24"/>
      <c r="M92" s="48"/>
      <c r="N92" s="48"/>
      <c r="O92" s="48"/>
      <c r="P92" s="50"/>
    </row>
    <row r="93" ht="15.0" customHeight="1">
      <c r="B93" s="24"/>
      <c r="C93" s="24"/>
      <c r="D93" s="24"/>
      <c r="E93" s="24"/>
      <c r="F93" s="24"/>
      <c r="G93" s="24"/>
      <c r="H93" s="24"/>
      <c r="I93" s="24"/>
      <c r="J93" s="24"/>
      <c r="M93" s="48"/>
      <c r="N93" s="48"/>
      <c r="O93" s="48"/>
      <c r="P93" s="50"/>
    </row>
    <row r="94" ht="15.0" customHeight="1">
      <c r="B94" s="24"/>
      <c r="C94" s="24"/>
      <c r="D94" s="24"/>
      <c r="E94" s="24"/>
      <c r="F94" s="24"/>
      <c r="G94" s="24"/>
      <c r="H94" s="24"/>
      <c r="I94" s="24"/>
      <c r="J94" s="24"/>
      <c r="M94" s="48"/>
      <c r="N94" s="48"/>
      <c r="O94" s="48"/>
      <c r="P94" s="50"/>
    </row>
    <row r="95" ht="15.0" customHeight="1">
      <c r="B95" s="24"/>
      <c r="C95" s="24"/>
      <c r="D95" s="24"/>
      <c r="E95" s="24"/>
      <c r="F95" s="24"/>
      <c r="G95" s="24"/>
      <c r="H95" s="24"/>
      <c r="I95" s="24"/>
      <c r="J95" s="24"/>
      <c r="M95" s="48"/>
      <c r="N95" s="48"/>
      <c r="O95" s="48"/>
      <c r="P95" s="50"/>
    </row>
    <row r="96" ht="15.0" customHeight="1">
      <c r="B96" s="24"/>
      <c r="C96" s="24"/>
      <c r="D96" s="24"/>
      <c r="E96" s="24"/>
      <c r="F96" s="24"/>
      <c r="G96" s="24"/>
      <c r="H96" s="24"/>
      <c r="I96" s="24"/>
      <c r="J96" s="24"/>
      <c r="M96" s="48"/>
      <c r="N96" s="48"/>
      <c r="O96" s="48"/>
      <c r="P96" s="50"/>
    </row>
    <row r="97" ht="15.0" customHeight="1">
      <c r="B97" s="24"/>
      <c r="C97" s="24"/>
      <c r="D97" s="24"/>
      <c r="E97" s="24"/>
      <c r="F97" s="24"/>
      <c r="G97" s="24"/>
      <c r="H97" s="24"/>
      <c r="I97" s="24"/>
      <c r="J97" s="24"/>
      <c r="M97" s="48"/>
      <c r="N97" s="48"/>
      <c r="O97" s="48"/>
      <c r="P97" s="50"/>
    </row>
    <row r="98" ht="15.0" customHeight="1">
      <c r="B98" s="24"/>
      <c r="C98" s="24"/>
      <c r="D98" s="24"/>
      <c r="E98" s="24"/>
      <c r="F98" s="24"/>
      <c r="G98" s="24"/>
      <c r="H98" s="24"/>
      <c r="I98" s="24"/>
      <c r="J98" s="24"/>
      <c r="M98" s="48"/>
      <c r="N98" s="48"/>
      <c r="O98" s="48"/>
      <c r="P98" s="50"/>
    </row>
    <row r="99" ht="15.0" customHeight="1">
      <c r="B99" s="24"/>
      <c r="C99" s="24"/>
      <c r="D99" s="24"/>
      <c r="E99" s="24"/>
      <c r="F99" s="24"/>
      <c r="G99" s="24"/>
      <c r="H99" s="24"/>
      <c r="I99" s="24"/>
      <c r="J99" s="24"/>
      <c r="M99" s="48"/>
      <c r="N99" s="48"/>
      <c r="O99" s="48"/>
      <c r="P99" s="50"/>
    </row>
    <row r="100" ht="15.0" customHeight="1">
      <c r="B100" s="24"/>
      <c r="C100" s="24"/>
      <c r="D100" s="24"/>
      <c r="E100" s="24"/>
      <c r="F100" s="24"/>
      <c r="G100" s="24"/>
      <c r="H100" s="24"/>
      <c r="I100" s="24"/>
      <c r="J100" s="24"/>
      <c r="M100" s="48"/>
      <c r="N100" s="48"/>
      <c r="O100" s="48"/>
      <c r="P100" s="50"/>
    </row>
    <row r="101" ht="15.0" customHeight="1">
      <c r="B101" s="24"/>
      <c r="C101" s="24"/>
      <c r="D101" s="24"/>
      <c r="E101" s="24"/>
      <c r="F101" s="24"/>
      <c r="G101" s="24"/>
      <c r="H101" s="24"/>
      <c r="I101" s="24"/>
      <c r="J101" s="24"/>
      <c r="M101" s="48"/>
      <c r="N101" s="48"/>
      <c r="O101" s="48"/>
      <c r="P101" s="50"/>
    </row>
    <row r="102" ht="15.0" customHeight="1">
      <c r="B102" s="24"/>
      <c r="C102" s="24"/>
      <c r="D102" s="24"/>
      <c r="E102" s="24"/>
      <c r="F102" s="24"/>
      <c r="G102" s="24"/>
      <c r="H102" s="24"/>
      <c r="I102" s="24"/>
      <c r="J102" s="24"/>
      <c r="M102" s="48"/>
      <c r="N102" s="48"/>
      <c r="O102" s="48"/>
      <c r="P102" s="50"/>
    </row>
    <row r="103" ht="15.0" customHeight="1">
      <c r="B103" s="24"/>
      <c r="C103" s="24"/>
      <c r="D103" s="24"/>
      <c r="E103" s="24"/>
      <c r="F103" s="24"/>
      <c r="G103" s="24"/>
      <c r="H103" s="24"/>
      <c r="I103" s="24"/>
      <c r="J103" s="24"/>
      <c r="M103" s="48"/>
      <c r="N103" s="48"/>
      <c r="O103" s="48"/>
      <c r="P103" s="50"/>
    </row>
    <row r="104" ht="15.0" customHeight="1">
      <c r="B104" s="24"/>
      <c r="C104" s="24"/>
      <c r="D104" s="24"/>
      <c r="E104" s="24"/>
      <c r="F104" s="24"/>
      <c r="G104" s="24"/>
      <c r="H104" s="24"/>
      <c r="I104" s="24"/>
      <c r="J104" s="24"/>
      <c r="M104" s="48"/>
      <c r="N104" s="48"/>
      <c r="O104" s="48"/>
      <c r="P104" s="50"/>
    </row>
    <row r="105" ht="15.0" customHeight="1">
      <c r="B105" s="24"/>
      <c r="C105" s="24"/>
      <c r="D105" s="24"/>
      <c r="E105" s="24"/>
      <c r="F105" s="24"/>
      <c r="G105" s="24"/>
      <c r="H105" s="24"/>
      <c r="I105" s="24"/>
      <c r="J105" s="24"/>
      <c r="M105" s="48"/>
      <c r="N105" s="48"/>
      <c r="O105" s="48"/>
      <c r="P105" s="50"/>
    </row>
    <row r="106" ht="15.0" customHeight="1">
      <c r="B106" s="24"/>
      <c r="C106" s="24"/>
      <c r="D106" s="24"/>
      <c r="E106" s="24"/>
      <c r="F106" s="24"/>
      <c r="G106" s="24"/>
      <c r="H106" s="24"/>
      <c r="I106" s="24"/>
      <c r="J106" s="24"/>
      <c r="M106" s="48"/>
      <c r="N106" s="48"/>
      <c r="O106" s="48"/>
      <c r="P106" s="50"/>
    </row>
    <row r="107" ht="15.0" customHeight="1">
      <c r="B107" s="24"/>
      <c r="C107" s="24"/>
      <c r="D107" s="24"/>
      <c r="E107" s="24"/>
      <c r="F107" s="24"/>
      <c r="G107" s="24"/>
      <c r="H107" s="24"/>
      <c r="I107" s="24"/>
      <c r="J107" s="24"/>
      <c r="M107" s="48"/>
      <c r="N107" s="48"/>
      <c r="O107" s="48"/>
      <c r="P107" s="50"/>
    </row>
    <row r="108" ht="15.0" customHeight="1">
      <c r="B108" s="24"/>
      <c r="C108" s="24"/>
      <c r="D108" s="24"/>
      <c r="E108" s="24"/>
      <c r="F108" s="24"/>
      <c r="G108" s="24"/>
      <c r="H108" s="24"/>
      <c r="I108" s="24"/>
      <c r="J108" s="24"/>
      <c r="M108" s="48"/>
      <c r="N108" s="48"/>
      <c r="O108" s="48"/>
      <c r="P108" s="50"/>
    </row>
    <row r="109" ht="15.0" customHeight="1">
      <c r="B109" s="24"/>
      <c r="C109" s="24"/>
      <c r="D109" s="24"/>
      <c r="E109" s="24"/>
      <c r="F109" s="24"/>
      <c r="G109" s="24"/>
      <c r="H109" s="24"/>
      <c r="I109" s="24"/>
      <c r="J109" s="24"/>
      <c r="M109" s="48"/>
      <c r="N109" s="48"/>
      <c r="O109" s="48"/>
      <c r="P109" s="50"/>
    </row>
    <row r="110" ht="15.0" customHeight="1">
      <c r="B110" s="24"/>
      <c r="C110" s="24"/>
      <c r="D110" s="24"/>
      <c r="E110" s="24"/>
      <c r="F110" s="24"/>
      <c r="G110" s="24"/>
      <c r="H110" s="24"/>
      <c r="I110" s="24"/>
      <c r="J110" s="24"/>
      <c r="M110" s="48"/>
      <c r="N110" s="48"/>
      <c r="O110" s="48"/>
      <c r="P110" s="50"/>
    </row>
    <row r="111" ht="15.0" customHeight="1">
      <c r="B111" s="24"/>
      <c r="C111" s="24"/>
      <c r="D111" s="24"/>
      <c r="E111" s="24"/>
      <c r="F111" s="24"/>
      <c r="G111" s="24"/>
      <c r="H111" s="24"/>
      <c r="I111" s="24"/>
      <c r="J111" s="24"/>
      <c r="M111" s="48"/>
      <c r="N111" s="48"/>
      <c r="O111" s="48"/>
      <c r="P111" s="50"/>
    </row>
    <row r="112" ht="15.0" customHeight="1">
      <c r="B112" s="24"/>
      <c r="C112" s="24"/>
      <c r="D112" s="24"/>
      <c r="E112" s="24"/>
      <c r="F112" s="24"/>
      <c r="G112" s="24"/>
      <c r="H112" s="24"/>
      <c r="I112" s="24"/>
      <c r="J112" s="24"/>
      <c r="M112" s="48"/>
      <c r="N112" s="48"/>
      <c r="O112" s="48"/>
      <c r="P112" s="50"/>
    </row>
    <row r="113" ht="15.0" customHeight="1">
      <c r="B113" s="24"/>
      <c r="C113" s="24"/>
      <c r="D113" s="24"/>
      <c r="E113" s="24"/>
      <c r="F113" s="24"/>
      <c r="G113" s="24"/>
      <c r="H113" s="24"/>
      <c r="I113" s="24"/>
      <c r="J113" s="24"/>
      <c r="M113" s="48"/>
      <c r="N113" s="48"/>
      <c r="O113" s="48"/>
      <c r="P113" s="50"/>
    </row>
    <row r="114" ht="15.0" customHeight="1">
      <c r="B114" s="24"/>
      <c r="C114" s="24"/>
      <c r="D114" s="24"/>
      <c r="E114" s="24"/>
      <c r="F114" s="24"/>
      <c r="G114" s="24"/>
      <c r="H114" s="24"/>
      <c r="I114" s="24"/>
      <c r="J114" s="24"/>
      <c r="M114" s="48"/>
      <c r="N114" s="48"/>
      <c r="O114" s="48"/>
      <c r="P114" s="50"/>
    </row>
    <row r="115" ht="15.0" customHeight="1">
      <c r="B115" s="24"/>
      <c r="C115" s="24"/>
      <c r="D115" s="24"/>
      <c r="E115" s="24"/>
      <c r="F115" s="24"/>
      <c r="G115" s="24"/>
      <c r="H115" s="24"/>
      <c r="I115" s="24"/>
      <c r="J115" s="24"/>
      <c r="M115" s="48"/>
      <c r="N115" s="48"/>
      <c r="O115" s="48"/>
      <c r="P115" s="50"/>
    </row>
    <row r="116" ht="15.0" customHeight="1">
      <c r="B116" s="24"/>
      <c r="C116" s="24"/>
      <c r="D116" s="24"/>
      <c r="E116" s="24"/>
      <c r="F116" s="24"/>
      <c r="G116" s="24"/>
      <c r="H116" s="24"/>
      <c r="I116" s="24"/>
      <c r="J116" s="24"/>
      <c r="M116" s="48"/>
      <c r="N116" s="48"/>
      <c r="O116" s="48"/>
      <c r="P116" s="50"/>
    </row>
    <row r="117" ht="15.0" customHeight="1">
      <c r="B117" s="24"/>
      <c r="C117" s="24"/>
      <c r="D117" s="24"/>
      <c r="E117" s="24"/>
      <c r="F117" s="24"/>
      <c r="G117" s="24"/>
      <c r="H117" s="24"/>
      <c r="I117" s="24"/>
      <c r="J117" s="24"/>
      <c r="M117" s="48"/>
      <c r="N117" s="48"/>
      <c r="O117" s="48"/>
      <c r="P117" s="50"/>
    </row>
    <row r="118" ht="15.0" customHeight="1">
      <c r="B118" s="24"/>
      <c r="C118" s="24"/>
      <c r="D118" s="24"/>
      <c r="E118" s="24"/>
      <c r="F118" s="24"/>
      <c r="G118" s="24"/>
      <c r="H118" s="24"/>
      <c r="I118" s="24"/>
      <c r="J118" s="24"/>
      <c r="M118" s="48"/>
      <c r="N118" s="48"/>
      <c r="O118" s="48"/>
      <c r="P118" s="50"/>
    </row>
    <row r="119" ht="15.0" customHeight="1">
      <c r="B119" s="24"/>
      <c r="C119" s="24"/>
      <c r="D119" s="24"/>
      <c r="E119" s="24"/>
      <c r="F119" s="24"/>
      <c r="G119" s="24"/>
      <c r="H119" s="24"/>
      <c r="I119" s="24"/>
      <c r="J119" s="24"/>
      <c r="M119" s="48"/>
      <c r="N119" s="48"/>
      <c r="O119" s="48"/>
      <c r="P119" s="50"/>
    </row>
    <row r="120" ht="15.0" customHeight="1">
      <c r="B120" s="24"/>
      <c r="C120" s="24"/>
      <c r="D120" s="24"/>
      <c r="E120" s="24"/>
      <c r="F120" s="24"/>
      <c r="G120" s="24"/>
      <c r="H120" s="24"/>
      <c r="I120" s="24"/>
      <c r="J120" s="24"/>
      <c r="M120" s="48"/>
      <c r="N120" s="48"/>
      <c r="O120" s="48"/>
      <c r="P120" s="50"/>
    </row>
    <row r="121" ht="15.0" customHeight="1">
      <c r="B121" s="24"/>
      <c r="C121" s="24"/>
      <c r="D121" s="24"/>
      <c r="E121" s="24"/>
      <c r="F121" s="24"/>
      <c r="G121" s="24"/>
      <c r="H121" s="24"/>
      <c r="I121" s="24"/>
      <c r="J121" s="24"/>
      <c r="M121" s="48"/>
      <c r="N121" s="48"/>
      <c r="O121" s="48"/>
      <c r="P121" s="50"/>
    </row>
    <row r="122" ht="15.0" customHeight="1">
      <c r="B122" s="24"/>
      <c r="C122" s="24"/>
      <c r="D122" s="24"/>
      <c r="E122" s="24"/>
      <c r="F122" s="24"/>
      <c r="G122" s="24"/>
      <c r="H122" s="24"/>
      <c r="I122" s="24"/>
      <c r="J122" s="24"/>
      <c r="M122" s="48"/>
      <c r="N122" s="48"/>
      <c r="O122" s="48"/>
      <c r="P122" s="50"/>
    </row>
    <row r="123" ht="15.0" customHeight="1">
      <c r="B123" s="24"/>
      <c r="C123" s="24"/>
      <c r="D123" s="24"/>
      <c r="E123" s="24"/>
      <c r="F123" s="24"/>
      <c r="G123" s="24"/>
      <c r="H123" s="24"/>
      <c r="I123" s="24"/>
      <c r="J123" s="24"/>
      <c r="M123" s="48"/>
      <c r="N123" s="48"/>
      <c r="O123" s="48"/>
      <c r="P123" s="50"/>
    </row>
    <row r="124" ht="15.0" customHeight="1">
      <c r="B124" s="24"/>
      <c r="C124" s="24"/>
      <c r="D124" s="24"/>
      <c r="E124" s="24"/>
      <c r="F124" s="24"/>
      <c r="G124" s="24"/>
      <c r="H124" s="24"/>
      <c r="I124" s="24"/>
      <c r="J124" s="24"/>
      <c r="M124" s="48"/>
      <c r="N124" s="48"/>
      <c r="O124" s="48"/>
      <c r="P124" s="50"/>
    </row>
    <row r="125" ht="15.0" customHeight="1">
      <c r="B125" s="24"/>
      <c r="C125" s="24"/>
      <c r="D125" s="24"/>
      <c r="E125" s="24"/>
      <c r="F125" s="24"/>
      <c r="G125" s="24"/>
      <c r="H125" s="24"/>
      <c r="I125" s="24"/>
      <c r="J125" s="24"/>
      <c r="M125" s="48"/>
      <c r="N125" s="48"/>
      <c r="O125" s="48"/>
      <c r="P125" s="50"/>
    </row>
    <row r="126" ht="15.0" customHeight="1">
      <c r="B126" s="24"/>
      <c r="C126" s="24"/>
      <c r="D126" s="24"/>
      <c r="E126" s="24"/>
      <c r="F126" s="24"/>
      <c r="G126" s="24"/>
      <c r="H126" s="24"/>
      <c r="I126" s="24"/>
      <c r="J126" s="24"/>
      <c r="M126" s="48"/>
      <c r="N126" s="48"/>
      <c r="O126" s="48"/>
      <c r="P126" s="50"/>
    </row>
    <row r="127" ht="15.0" customHeight="1">
      <c r="B127" s="24"/>
      <c r="C127" s="24"/>
      <c r="D127" s="24"/>
      <c r="E127" s="24"/>
      <c r="F127" s="24"/>
      <c r="G127" s="24"/>
      <c r="H127" s="24"/>
      <c r="I127" s="24"/>
      <c r="J127" s="24"/>
      <c r="M127" s="48"/>
      <c r="N127" s="48"/>
      <c r="O127" s="48"/>
      <c r="P127" s="50"/>
    </row>
    <row r="128" ht="15.0" customHeight="1">
      <c r="B128" s="24"/>
      <c r="C128" s="24"/>
      <c r="D128" s="24"/>
      <c r="E128" s="24"/>
      <c r="F128" s="24"/>
      <c r="G128" s="24"/>
      <c r="H128" s="24"/>
      <c r="I128" s="24"/>
      <c r="J128" s="24"/>
      <c r="M128" s="48"/>
      <c r="N128" s="48"/>
      <c r="O128" s="48"/>
      <c r="P128" s="50"/>
    </row>
    <row r="129" ht="15.0" customHeight="1">
      <c r="B129" s="24"/>
      <c r="C129" s="24"/>
      <c r="D129" s="24"/>
      <c r="E129" s="24"/>
      <c r="F129" s="24"/>
      <c r="G129" s="24"/>
      <c r="H129" s="24"/>
      <c r="I129" s="24"/>
      <c r="J129" s="24"/>
      <c r="M129" s="48"/>
      <c r="N129" s="48"/>
      <c r="O129" s="48"/>
      <c r="P129" s="50"/>
    </row>
    <row r="130" ht="15.0" customHeight="1">
      <c r="B130" s="24"/>
      <c r="C130" s="24"/>
      <c r="D130" s="24"/>
      <c r="E130" s="24"/>
      <c r="F130" s="24"/>
      <c r="G130" s="24"/>
      <c r="H130" s="24"/>
      <c r="I130" s="24"/>
      <c r="J130" s="24"/>
      <c r="M130" s="48"/>
      <c r="N130" s="48"/>
      <c r="O130" s="48"/>
      <c r="P130" s="50"/>
    </row>
    <row r="131" ht="15.0" customHeight="1">
      <c r="B131" s="24"/>
      <c r="C131" s="24"/>
      <c r="D131" s="24"/>
      <c r="E131" s="24"/>
      <c r="F131" s="24"/>
      <c r="G131" s="24"/>
      <c r="H131" s="24"/>
      <c r="I131" s="24"/>
      <c r="J131" s="24"/>
      <c r="M131" s="48"/>
      <c r="N131" s="48"/>
      <c r="O131" s="48"/>
      <c r="P131" s="50"/>
    </row>
    <row r="132" ht="15.0" customHeight="1">
      <c r="B132" s="24"/>
      <c r="C132" s="24"/>
      <c r="D132" s="24"/>
      <c r="E132" s="24"/>
      <c r="F132" s="24"/>
      <c r="G132" s="24"/>
      <c r="H132" s="24"/>
      <c r="I132" s="24"/>
      <c r="J132" s="24"/>
      <c r="M132" s="48"/>
      <c r="N132" s="48"/>
      <c r="O132" s="48"/>
      <c r="P132" s="50"/>
    </row>
    <row r="133" ht="15.0" customHeight="1">
      <c r="B133" s="24"/>
      <c r="C133" s="24"/>
      <c r="D133" s="24"/>
      <c r="E133" s="24"/>
      <c r="F133" s="24"/>
      <c r="G133" s="24"/>
      <c r="H133" s="24"/>
      <c r="I133" s="24"/>
      <c r="J133" s="24"/>
      <c r="M133" s="48"/>
      <c r="N133" s="48"/>
      <c r="O133" s="48"/>
      <c r="P133" s="50"/>
    </row>
    <row r="134" ht="15.0" customHeight="1">
      <c r="B134" s="24"/>
      <c r="C134" s="24"/>
      <c r="D134" s="24"/>
      <c r="E134" s="24"/>
      <c r="F134" s="24"/>
      <c r="G134" s="24"/>
      <c r="H134" s="24"/>
      <c r="I134" s="24"/>
      <c r="J134" s="24"/>
      <c r="M134" s="48"/>
      <c r="N134" s="48"/>
      <c r="O134" s="48"/>
      <c r="P134" s="50"/>
    </row>
    <row r="135" ht="15.0" customHeight="1">
      <c r="B135" s="24"/>
      <c r="C135" s="24"/>
      <c r="D135" s="24"/>
      <c r="E135" s="24"/>
      <c r="F135" s="24"/>
      <c r="G135" s="24"/>
      <c r="H135" s="24"/>
      <c r="I135" s="24"/>
      <c r="J135" s="24"/>
      <c r="M135" s="48"/>
      <c r="N135" s="48"/>
      <c r="O135" s="48"/>
      <c r="P135" s="50"/>
    </row>
    <row r="136" ht="15.0" customHeight="1">
      <c r="B136" s="24"/>
      <c r="C136" s="24"/>
      <c r="D136" s="24"/>
      <c r="E136" s="24"/>
      <c r="F136" s="24"/>
      <c r="G136" s="24"/>
      <c r="H136" s="24"/>
      <c r="I136" s="24"/>
      <c r="J136" s="24"/>
      <c r="M136" s="48"/>
      <c r="N136" s="48"/>
      <c r="O136" s="48"/>
      <c r="P136" s="50"/>
    </row>
    <row r="137" ht="15.0" customHeight="1">
      <c r="B137" s="24"/>
      <c r="C137" s="24"/>
      <c r="D137" s="24"/>
      <c r="E137" s="24"/>
      <c r="F137" s="24"/>
      <c r="G137" s="24"/>
      <c r="H137" s="24"/>
      <c r="I137" s="24"/>
      <c r="J137" s="24"/>
      <c r="M137" s="48"/>
      <c r="N137" s="48"/>
      <c r="O137" s="48"/>
      <c r="P137" s="50"/>
    </row>
    <row r="138" ht="15.0" customHeight="1">
      <c r="B138" s="24"/>
      <c r="C138" s="24"/>
      <c r="D138" s="24"/>
      <c r="E138" s="24"/>
      <c r="F138" s="24"/>
      <c r="G138" s="24"/>
      <c r="H138" s="24"/>
      <c r="I138" s="24"/>
      <c r="J138" s="24"/>
      <c r="M138" s="48"/>
      <c r="N138" s="48"/>
      <c r="O138" s="48"/>
      <c r="P138" s="50"/>
    </row>
    <row r="139" ht="15.0" customHeight="1">
      <c r="B139" s="24"/>
      <c r="C139" s="24"/>
      <c r="D139" s="24"/>
      <c r="E139" s="24"/>
      <c r="F139" s="24"/>
      <c r="G139" s="24"/>
      <c r="H139" s="24"/>
      <c r="I139" s="24"/>
      <c r="J139" s="24"/>
      <c r="M139" s="48"/>
      <c r="N139" s="48"/>
      <c r="O139" s="48"/>
      <c r="P139" s="50"/>
    </row>
    <row r="140" ht="15.0" customHeight="1">
      <c r="B140" s="24"/>
      <c r="C140" s="24"/>
      <c r="D140" s="24"/>
      <c r="E140" s="24"/>
      <c r="F140" s="24"/>
      <c r="G140" s="24"/>
      <c r="H140" s="24"/>
      <c r="I140" s="24"/>
      <c r="J140" s="24"/>
      <c r="M140" s="48"/>
      <c r="N140" s="48"/>
      <c r="O140" s="48"/>
      <c r="P140" s="50"/>
    </row>
    <row r="141" ht="15.0" customHeight="1">
      <c r="B141" s="24"/>
      <c r="C141" s="24"/>
      <c r="D141" s="24"/>
      <c r="E141" s="24"/>
      <c r="F141" s="24"/>
      <c r="G141" s="24"/>
      <c r="H141" s="24"/>
      <c r="I141" s="24"/>
      <c r="J141" s="24"/>
      <c r="M141" s="48"/>
      <c r="N141" s="48"/>
      <c r="O141" s="48"/>
      <c r="P141" s="50"/>
    </row>
    <row r="142" ht="15.0" customHeight="1">
      <c r="B142" s="24"/>
      <c r="C142" s="24"/>
      <c r="D142" s="24"/>
      <c r="E142" s="24"/>
      <c r="F142" s="24"/>
      <c r="G142" s="24"/>
      <c r="H142" s="24"/>
      <c r="I142" s="24"/>
      <c r="J142" s="24"/>
      <c r="M142" s="48"/>
      <c r="N142" s="48"/>
      <c r="O142" s="48"/>
      <c r="P142" s="50"/>
    </row>
    <row r="143" ht="15.0" customHeight="1">
      <c r="B143" s="24"/>
      <c r="C143" s="24"/>
      <c r="D143" s="24"/>
      <c r="E143" s="24"/>
      <c r="F143" s="24"/>
      <c r="G143" s="24"/>
      <c r="H143" s="24"/>
      <c r="I143" s="24"/>
      <c r="J143" s="24"/>
      <c r="M143" s="48"/>
      <c r="N143" s="48"/>
      <c r="O143" s="48"/>
      <c r="P143" s="50"/>
    </row>
    <row r="144" ht="15.0" customHeight="1">
      <c r="B144" s="24"/>
      <c r="C144" s="24"/>
      <c r="D144" s="24"/>
      <c r="E144" s="24"/>
      <c r="F144" s="24"/>
      <c r="G144" s="24"/>
      <c r="H144" s="24"/>
      <c r="I144" s="24"/>
      <c r="J144" s="24"/>
      <c r="M144" s="48"/>
      <c r="N144" s="48"/>
      <c r="O144" s="48"/>
      <c r="P144" s="50"/>
    </row>
    <row r="145" ht="15.0" customHeight="1">
      <c r="B145" s="24"/>
      <c r="C145" s="24"/>
      <c r="D145" s="24"/>
      <c r="E145" s="24"/>
      <c r="F145" s="24"/>
      <c r="G145" s="24"/>
      <c r="H145" s="24"/>
      <c r="I145" s="24"/>
      <c r="J145" s="24"/>
      <c r="M145" s="48"/>
      <c r="N145" s="48"/>
      <c r="O145" s="48"/>
      <c r="P145" s="50"/>
    </row>
    <row r="146" ht="15.0" customHeight="1">
      <c r="B146" s="24"/>
      <c r="C146" s="24"/>
      <c r="D146" s="24"/>
      <c r="E146" s="24"/>
      <c r="F146" s="24"/>
      <c r="G146" s="24"/>
      <c r="H146" s="24"/>
      <c r="I146" s="24"/>
      <c r="J146" s="24"/>
      <c r="M146" s="48"/>
      <c r="N146" s="48"/>
      <c r="O146" s="48"/>
      <c r="P146" s="50"/>
    </row>
    <row r="147" ht="15.0" customHeight="1">
      <c r="B147" s="24"/>
      <c r="C147" s="24"/>
      <c r="D147" s="24"/>
      <c r="E147" s="24"/>
      <c r="F147" s="24"/>
      <c r="G147" s="24"/>
      <c r="H147" s="24"/>
      <c r="I147" s="24"/>
      <c r="J147" s="24"/>
      <c r="M147" s="48"/>
      <c r="N147" s="48"/>
      <c r="O147" s="48"/>
      <c r="P147" s="50"/>
    </row>
    <row r="148" ht="15.0" customHeight="1">
      <c r="B148" s="24"/>
      <c r="C148" s="24"/>
      <c r="D148" s="24"/>
      <c r="E148" s="24"/>
      <c r="F148" s="24"/>
      <c r="G148" s="24"/>
      <c r="H148" s="24"/>
      <c r="I148" s="24"/>
      <c r="J148" s="24"/>
      <c r="M148" s="48"/>
      <c r="N148" s="48"/>
      <c r="O148" s="48"/>
      <c r="P148" s="50"/>
    </row>
    <row r="149" ht="15.0" customHeight="1">
      <c r="B149" s="24"/>
      <c r="C149" s="24"/>
      <c r="D149" s="24"/>
      <c r="E149" s="24"/>
      <c r="F149" s="24"/>
      <c r="G149" s="24"/>
      <c r="H149" s="24"/>
      <c r="I149" s="24"/>
      <c r="J149" s="24"/>
      <c r="M149" s="48"/>
      <c r="N149" s="48"/>
      <c r="O149" s="48"/>
      <c r="P149" s="50"/>
    </row>
    <row r="150" ht="15.0" customHeight="1">
      <c r="B150" s="24"/>
      <c r="C150" s="24"/>
      <c r="D150" s="24"/>
      <c r="E150" s="24"/>
      <c r="F150" s="24"/>
      <c r="G150" s="24"/>
      <c r="H150" s="24"/>
      <c r="I150" s="24"/>
      <c r="J150" s="24"/>
      <c r="M150" s="48"/>
      <c r="N150" s="48"/>
      <c r="O150" s="48"/>
      <c r="P150" s="50"/>
    </row>
    <row r="151" ht="15.0" customHeight="1">
      <c r="B151" s="24"/>
      <c r="C151" s="24"/>
      <c r="D151" s="24"/>
      <c r="E151" s="24"/>
      <c r="F151" s="24"/>
      <c r="G151" s="24"/>
      <c r="H151" s="24"/>
      <c r="I151" s="24"/>
      <c r="J151" s="24"/>
      <c r="M151" s="48"/>
      <c r="N151" s="48"/>
      <c r="O151" s="48"/>
      <c r="P151" s="50"/>
    </row>
    <row r="152" ht="15.0" customHeight="1">
      <c r="B152" s="24"/>
      <c r="C152" s="24"/>
      <c r="D152" s="24"/>
      <c r="E152" s="24"/>
      <c r="F152" s="24"/>
      <c r="G152" s="24"/>
      <c r="H152" s="24"/>
      <c r="I152" s="24"/>
      <c r="J152" s="24"/>
      <c r="M152" s="48"/>
      <c r="N152" s="48"/>
      <c r="O152" s="48"/>
      <c r="P152" s="50"/>
    </row>
    <row r="153" ht="15.0" customHeight="1">
      <c r="B153" s="24"/>
      <c r="C153" s="24"/>
      <c r="D153" s="24"/>
      <c r="E153" s="24"/>
      <c r="F153" s="24"/>
      <c r="G153" s="24"/>
      <c r="H153" s="24"/>
      <c r="I153" s="24"/>
      <c r="J153" s="24"/>
      <c r="M153" s="48"/>
      <c r="N153" s="48"/>
      <c r="O153" s="48"/>
      <c r="P153" s="50"/>
    </row>
    <row r="154" ht="15.0" customHeight="1">
      <c r="B154" s="24"/>
      <c r="C154" s="24"/>
      <c r="D154" s="24"/>
      <c r="E154" s="24"/>
      <c r="F154" s="24"/>
      <c r="G154" s="24"/>
      <c r="H154" s="24"/>
      <c r="I154" s="24"/>
      <c r="J154" s="24"/>
      <c r="M154" s="48"/>
      <c r="N154" s="48"/>
      <c r="O154" s="48"/>
      <c r="P154" s="50"/>
    </row>
    <row r="155" ht="15.0" customHeight="1">
      <c r="B155" s="24"/>
      <c r="C155" s="24"/>
      <c r="D155" s="24"/>
      <c r="E155" s="24"/>
      <c r="F155" s="24"/>
      <c r="G155" s="24"/>
      <c r="H155" s="24"/>
      <c r="I155" s="24"/>
      <c r="J155" s="24"/>
      <c r="M155" s="48"/>
      <c r="N155" s="48"/>
      <c r="O155" s="48"/>
      <c r="P155" s="50"/>
    </row>
    <row r="156" ht="15.0" customHeight="1">
      <c r="B156" s="24"/>
      <c r="C156" s="24"/>
      <c r="D156" s="24"/>
      <c r="E156" s="24"/>
      <c r="F156" s="24"/>
      <c r="G156" s="24"/>
      <c r="H156" s="24"/>
      <c r="I156" s="24"/>
      <c r="J156" s="24"/>
      <c r="M156" s="48"/>
      <c r="N156" s="48"/>
      <c r="O156" s="48"/>
      <c r="P156" s="50"/>
    </row>
    <row r="157" ht="15.0" customHeight="1">
      <c r="B157" s="24"/>
      <c r="C157" s="24"/>
      <c r="D157" s="24"/>
      <c r="E157" s="24"/>
      <c r="F157" s="24"/>
      <c r="G157" s="24"/>
      <c r="H157" s="24"/>
      <c r="I157" s="24"/>
      <c r="J157" s="24"/>
      <c r="M157" s="48"/>
      <c r="N157" s="48"/>
      <c r="O157" s="48"/>
      <c r="P157" s="50"/>
    </row>
    <row r="158" ht="15.0" customHeight="1">
      <c r="B158" s="24"/>
      <c r="C158" s="24"/>
      <c r="D158" s="24"/>
      <c r="E158" s="24"/>
      <c r="F158" s="24"/>
      <c r="G158" s="24"/>
      <c r="H158" s="24"/>
      <c r="I158" s="24"/>
      <c r="J158" s="24"/>
      <c r="M158" s="48"/>
      <c r="N158" s="48"/>
      <c r="O158" s="48"/>
      <c r="P158" s="50"/>
    </row>
    <row r="159" ht="15.0" customHeight="1">
      <c r="B159" s="24"/>
      <c r="C159" s="24"/>
      <c r="D159" s="24"/>
      <c r="E159" s="24"/>
      <c r="F159" s="24"/>
      <c r="G159" s="24"/>
      <c r="H159" s="24"/>
      <c r="I159" s="24"/>
      <c r="J159" s="24"/>
      <c r="M159" s="48"/>
      <c r="N159" s="48"/>
      <c r="O159" s="48"/>
      <c r="P159" s="50"/>
    </row>
    <row r="160" ht="15.0" customHeight="1">
      <c r="B160" s="24"/>
      <c r="C160" s="24"/>
      <c r="D160" s="24"/>
      <c r="E160" s="24"/>
      <c r="F160" s="24"/>
      <c r="G160" s="24"/>
      <c r="H160" s="24"/>
      <c r="I160" s="24"/>
      <c r="J160" s="24"/>
      <c r="M160" s="48"/>
      <c r="N160" s="48"/>
      <c r="O160" s="48"/>
      <c r="P160" s="50"/>
    </row>
    <row r="161" ht="15.0" customHeight="1">
      <c r="B161" s="24"/>
      <c r="C161" s="24"/>
      <c r="D161" s="24"/>
      <c r="E161" s="24"/>
      <c r="F161" s="24"/>
      <c r="G161" s="24"/>
      <c r="H161" s="24"/>
      <c r="I161" s="24"/>
      <c r="J161" s="24"/>
      <c r="M161" s="48"/>
      <c r="N161" s="48"/>
      <c r="O161" s="48"/>
      <c r="P161" s="50"/>
    </row>
    <row r="162" ht="15.0" customHeight="1">
      <c r="B162" s="24"/>
      <c r="C162" s="24"/>
      <c r="D162" s="24"/>
      <c r="E162" s="24"/>
      <c r="F162" s="24"/>
      <c r="G162" s="24"/>
      <c r="H162" s="24"/>
      <c r="I162" s="24"/>
      <c r="J162" s="24"/>
      <c r="M162" s="48"/>
      <c r="N162" s="48"/>
      <c r="O162" s="48"/>
      <c r="P162" s="50"/>
    </row>
    <row r="163" ht="15.0" customHeight="1">
      <c r="B163" s="24"/>
      <c r="C163" s="24"/>
      <c r="D163" s="24"/>
      <c r="E163" s="24"/>
      <c r="F163" s="24"/>
      <c r="G163" s="24"/>
      <c r="H163" s="24"/>
      <c r="I163" s="24"/>
      <c r="J163" s="24"/>
      <c r="M163" s="48"/>
      <c r="N163" s="48"/>
      <c r="O163" s="48"/>
      <c r="P163" s="50"/>
    </row>
    <row r="164" ht="15.0" customHeight="1">
      <c r="B164" s="24"/>
      <c r="C164" s="24"/>
      <c r="D164" s="24"/>
      <c r="E164" s="24"/>
      <c r="F164" s="24"/>
      <c r="G164" s="24"/>
      <c r="H164" s="24"/>
      <c r="I164" s="24"/>
      <c r="J164" s="24"/>
      <c r="M164" s="48"/>
      <c r="N164" s="48"/>
      <c r="O164" s="48"/>
      <c r="P164" s="50"/>
    </row>
    <row r="165" ht="15.0" customHeight="1">
      <c r="B165" s="24"/>
      <c r="C165" s="24"/>
      <c r="D165" s="24"/>
      <c r="E165" s="24"/>
      <c r="F165" s="24"/>
      <c r="G165" s="24"/>
      <c r="H165" s="24"/>
      <c r="I165" s="24"/>
      <c r="J165" s="24"/>
      <c r="M165" s="48"/>
      <c r="N165" s="48"/>
      <c r="O165" s="48"/>
      <c r="P165" s="50"/>
    </row>
    <row r="166" ht="15.0" customHeight="1">
      <c r="B166" s="24"/>
      <c r="C166" s="24"/>
      <c r="D166" s="24"/>
      <c r="E166" s="24"/>
      <c r="F166" s="24"/>
      <c r="G166" s="24"/>
      <c r="H166" s="24"/>
      <c r="I166" s="24"/>
      <c r="J166" s="24"/>
      <c r="M166" s="48"/>
      <c r="N166" s="48"/>
      <c r="O166" s="48"/>
      <c r="P166" s="50"/>
    </row>
    <row r="167" ht="15.0" customHeight="1">
      <c r="B167" s="24"/>
      <c r="C167" s="24"/>
      <c r="D167" s="24"/>
      <c r="E167" s="24"/>
      <c r="F167" s="24"/>
      <c r="G167" s="24"/>
      <c r="H167" s="24"/>
      <c r="I167" s="24"/>
      <c r="J167" s="24"/>
      <c r="M167" s="48"/>
      <c r="N167" s="48"/>
      <c r="O167" s="48"/>
      <c r="P167" s="50"/>
    </row>
    <row r="168" ht="15.0" customHeight="1">
      <c r="B168" s="24"/>
      <c r="C168" s="24"/>
      <c r="D168" s="24"/>
      <c r="E168" s="24"/>
      <c r="F168" s="24"/>
      <c r="G168" s="24"/>
      <c r="H168" s="24"/>
      <c r="I168" s="24"/>
      <c r="J168" s="24"/>
      <c r="M168" s="48"/>
      <c r="N168" s="48"/>
      <c r="O168" s="48"/>
      <c r="P168" s="50"/>
    </row>
    <row r="169" ht="15.0" customHeight="1">
      <c r="B169" s="24"/>
      <c r="C169" s="24"/>
      <c r="D169" s="24"/>
      <c r="E169" s="24"/>
      <c r="F169" s="24"/>
      <c r="G169" s="24"/>
      <c r="H169" s="24"/>
      <c r="I169" s="24"/>
      <c r="J169" s="24"/>
      <c r="M169" s="48"/>
      <c r="N169" s="48"/>
      <c r="O169" s="48"/>
      <c r="P169" s="50"/>
    </row>
    <row r="170" ht="15.0" customHeight="1">
      <c r="B170" s="24"/>
      <c r="C170" s="24"/>
      <c r="D170" s="24"/>
      <c r="E170" s="24"/>
      <c r="F170" s="24"/>
      <c r="G170" s="24"/>
      <c r="H170" s="24"/>
      <c r="I170" s="24"/>
      <c r="J170" s="24"/>
      <c r="M170" s="48"/>
      <c r="N170" s="48"/>
      <c r="O170" s="48"/>
      <c r="P170" s="50"/>
    </row>
    <row r="171" ht="15.0" customHeight="1">
      <c r="B171" s="24"/>
      <c r="C171" s="24"/>
      <c r="D171" s="24"/>
      <c r="E171" s="24"/>
      <c r="F171" s="24"/>
      <c r="G171" s="24"/>
      <c r="H171" s="24"/>
      <c r="I171" s="24"/>
      <c r="J171" s="24"/>
      <c r="M171" s="48"/>
      <c r="N171" s="48"/>
      <c r="O171" s="48"/>
      <c r="P171" s="50"/>
    </row>
    <row r="172" ht="15.0" customHeight="1">
      <c r="B172" s="24"/>
      <c r="C172" s="24"/>
      <c r="D172" s="24"/>
      <c r="E172" s="24"/>
      <c r="F172" s="24"/>
      <c r="G172" s="24"/>
      <c r="H172" s="24"/>
      <c r="I172" s="24"/>
      <c r="J172" s="24"/>
      <c r="M172" s="48"/>
      <c r="N172" s="48"/>
      <c r="O172" s="48"/>
      <c r="P172" s="50"/>
    </row>
    <row r="173" ht="15.0" customHeight="1">
      <c r="B173" s="24"/>
      <c r="C173" s="24"/>
      <c r="D173" s="24"/>
      <c r="E173" s="24"/>
      <c r="F173" s="24"/>
      <c r="G173" s="24"/>
      <c r="H173" s="24"/>
      <c r="I173" s="24"/>
      <c r="J173" s="24"/>
      <c r="M173" s="48"/>
      <c r="N173" s="48"/>
      <c r="O173" s="48"/>
      <c r="P173" s="50"/>
    </row>
    <row r="174" ht="15.0" customHeight="1">
      <c r="B174" s="24"/>
      <c r="C174" s="24"/>
      <c r="D174" s="24"/>
      <c r="E174" s="24"/>
      <c r="F174" s="24"/>
      <c r="G174" s="24"/>
      <c r="H174" s="24"/>
      <c r="I174" s="24"/>
      <c r="J174" s="24"/>
      <c r="M174" s="48"/>
      <c r="N174" s="48"/>
      <c r="O174" s="48"/>
      <c r="P174" s="50"/>
    </row>
    <row r="175" ht="15.0" customHeight="1">
      <c r="B175" s="24"/>
      <c r="C175" s="24"/>
      <c r="D175" s="24"/>
      <c r="E175" s="24"/>
      <c r="F175" s="24"/>
      <c r="G175" s="24"/>
      <c r="H175" s="24"/>
      <c r="I175" s="24"/>
      <c r="J175" s="24"/>
      <c r="M175" s="48"/>
      <c r="N175" s="48"/>
      <c r="O175" s="48"/>
      <c r="P175" s="50"/>
    </row>
    <row r="176" ht="15.0" customHeight="1">
      <c r="B176" s="24"/>
      <c r="C176" s="24"/>
      <c r="D176" s="24"/>
      <c r="E176" s="24"/>
      <c r="F176" s="24"/>
      <c r="G176" s="24"/>
      <c r="H176" s="24"/>
      <c r="I176" s="24"/>
      <c r="J176" s="24"/>
      <c r="M176" s="48"/>
      <c r="N176" s="48"/>
      <c r="O176" s="48"/>
      <c r="P176" s="50"/>
    </row>
    <row r="177" ht="15.0" customHeight="1">
      <c r="B177" s="24"/>
      <c r="C177" s="24"/>
      <c r="D177" s="24"/>
      <c r="E177" s="24"/>
      <c r="F177" s="24"/>
      <c r="G177" s="24"/>
      <c r="H177" s="24"/>
      <c r="I177" s="24"/>
      <c r="J177" s="24"/>
      <c r="M177" s="48"/>
      <c r="N177" s="48"/>
      <c r="O177" s="48"/>
      <c r="P177" s="50"/>
    </row>
    <row r="178" ht="15.0" customHeight="1">
      <c r="B178" s="24"/>
      <c r="C178" s="24"/>
      <c r="D178" s="24"/>
      <c r="E178" s="24"/>
      <c r="F178" s="24"/>
      <c r="G178" s="24"/>
      <c r="H178" s="24"/>
      <c r="I178" s="24"/>
      <c r="J178" s="24"/>
      <c r="M178" s="48"/>
      <c r="N178" s="48"/>
      <c r="O178" s="48"/>
      <c r="P178" s="50"/>
    </row>
    <row r="179" ht="15.0" customHeight="1">
      <c r="B179" s="24"/>
      <c r="C179" s="24"/>
      <c r="D179" s="24"/>
      <c r="E179" s="24"/>
      <c r="F179" s="24"/>
      <c r="G179" s="24"/>
      <c r="H179" s="24"/>
      <c r="I179" s="24"/>
      <c r="J179" s="24"/>
      <c r="M179" s="48"/>
      <c r="N179" s="48"/>
      <c r="O179" s="48"/>
      <c r="P179" s="50"/>
    </row>
    <row r="180" ht="15.0" customHeight="1">
      <c r="B180" s="24"/>
      <c r="C180" s="24"/>
      <c r="D180" s="24"/>
      <c r="E180" s="24"/>
      <c r="F180" s="24"/>
      <c r="G180" s="24"/>
      <c r="H180" s="24"/>
      <c r="I180" s="24"/>
      <c r="J180" s="24"/>
      <c r="M180" s="48"/>
      <c r="N180" s="48"/>
      <c r="O180" s="48"/>
      <c r="P180" s="50"/>
    </row>
    <row r="181" ht="15.0" customHeight="1">
      <c r="B181" s="24"/>
      <c r="C181" s="24"/>
      <c r="D181" s="24"/>
      <c r="E181" s="24"/>
      <c r="F181" s="24"/>
      <c r="G181" s="24"/>
      <c r="H181" s="24"/>
      <c r="I181" s="24"/>
      <c r="J181" s="24"/>
      <c r="M181" s="48"/>
      <c r="N181" s="48"/>
      <c r="O181" s="48"/>
      <c r="P181" s="50"/>
    </row>
    <row r="182" ht="15.0" customHeight="1">
      <c r="B182" s="24"/>
      <c r="C182" s="24"/>
      <c r="D182" s="24"/>
      <c r="E182" s="24"/>
      <c r="F182" s="24"/>
      <c r="G182" s="24"/>
      <c r="H182" s="24"/>
      <c r="I182" s="24"/>
      <c r="J182" s="24"/>
      <c r="M182" s="48"/>
      <c r="N182" s="48"/>
      <c r="O182" s="48"/>
      <c r="P182" s="50"/>
    </row>
    <row r="183" ht="15.0" customHeight="1">
      <c r="B183" s="24"/>
      <c r="C183" s="24"/>
      <c r="D183" s="24"/>
      <c r="E183" s="24"/>
      <c r="F183" s="24"/>
      <c r="G183" s="24"/>
      <c r="H183" s="24"/>
      <c r="I183" s="24"/>
      <c r="J183" s="24"/>
      <c r="M183" s="48"/>
      <c r="N183" s="48"/>
      <c r="O183" s="48"/>
      <c r="P183" s="50"/>
    </row>
    <row r="184" ht="15.0" customHeight="1">
      <c r="B184" s="24"/>
      <c r="C184" s="24"/>
      <c r="D184" s="24"/>
      <c r="E184" s="24"/>
      <c r="F184" s="24"/>
      <c r="G184" s="24"/>
      <c r="H184" s="24"/>
      <c r="I184" s="24"/>
      <c r="J184" s="24"/>
      <c r="M184" s="48"/>
      <c r="N184" s="48"/>
      <c r="O184" s="48"/>
      <c r="P184" s="50"/>
    </row>
    <row r="185" ht="15.0" customHeight="1">
      <c r="B185" s="24"/>
      <c r="C185" s="24"/>
      <c r="D185" s="24"/>
      <c r="E185" s="24"/>
      <c r="F185" s="24"/>
      <c r="G185" s="24"/>
      <c r="H185" s="24"/>
      <c r="I185" s="24"/>
      <c r="J185" s="24"/>
      <c r="M185" s="48"/>
      <c r="N185" s="48"/>
      <c r="O185" s="48"/>
      <c r="P185" s="50"/>
    </row>
    <row r="186" ht="15.0" customHeight="1">
      <c r="B186" s="24"/>
      <c r="C186" s="24"/>
      <c r="D186" s="24"/>
      <c r="E186" s="24"/>
      <c r="F186" s="24"/>
      <c r="G186" s="24"/>
      <c r="H186" s="24"/>
      <c r="I186" s="24"/>
      <c r="J186" s="24"/>
      <c r="M186" s="48"/>
      <c r="N186" s="48"/>
      <c r="O186" s="48"/>
      <c r="P186" s="50"/>
    </row>
    <row r="187" ht="15.0" customHeight="1">
      <c r="B187" s="24"/>
      <c r="C187" s="24"/>
      <c r="D187" s="24"/>
      <c r="E187" s="24"/>
      <c r="F187" s="24"/>
      <c r="G187" s="24"/>
      <c r="H187" s="24"/>
      <c r="I187" s="24"/>
      <c r="J187" s="24"/>
      <c r="M187" s="48"/>
      <c r="N187" s="48"/>
      <c r="O187" s="48"/>
      <c r="P187" s="50"/>
    </row>
    <row r="188" ht="15.0" customHeight="1">
      <c r="B188" s="24"/>
      <c r="C188" s="24"/>
      <c r="D188" s="24"/>
      <c r="E188" s="24"/>
      <c r="F188" s="24"/>
      <c r="G188" s="24"/>
      <c r="H188" s="24"/>
      <c r="I188" s="24"/>
      <c r="J188" s="24"/>
      <c r="M188" s="48"/>
      <c r="N188" s="48"/>
      <c r="O188" s="48"/>
      <c r="P188" s="50"/>
    </row>
    <row r="189" ht="15.0" customHeight="1">
      <c r="B189" s="24"/>
      <c r="C189" s="24"/>
      <c r="D189" s="24"/>
      <c r="E189" s="24"/>
      <c r="F189" s="24"/>
      <c r="G189" s="24"/>
      <c r="H189" s="24"/>
      <c r="I189" s="24"/>
      <c r="J189" s="24"/>
      <c r="M189" s="48"/>
      <c r="N189" s="48"/>
      <c r="O189" s="48"/>
      <c r="P189" s="50"/>
    </row>
    <row r="190" ht="15.0" customHeight="1">
      <c r="B190" s="24"/>
      <c r="C190" s="24"/>
      <c r="D190" s="24"/>
      <c r="E190" s="24"/>
      <c r="F190" s="24"/>
      <c r="G190" s="24"/>
      <c r="H190" s="24"/>
      <c r="I190" s="24"/>
      <c r="J190" s="24"/>
      <c r="M190" s="48"/>
      <c r="N190" s="48"/>
      <c r="O190" s="48"/>
      <c r="P190" s="50"/>
    </row>
    <row r="191" ht="15.0" customHeight="1">
      <c r="B191" s="24"/>
      <c r="C191" s="24"/>
      <c r="D191" s="24"/>
      <c r="E191" s="24"/>
      <c r="F191" s="24"/>
      <c r="G191" s="24"/>
      <c r="H191" s="24"/>
      <c r="I191" s="24"/>
      <c r="J191" s="24"/>
      <c r="M191" s="48"/>
      <c r="N191" s="48"/>
      <c r="O191" s="48"/>
      <c r="P191" s="50"/>
    </row>
    <row r="192" ht="15.0" customHeight="1">
      <c r="B192" s="24"/>
      <c r="C192" s="24"/>
      <c r="D192" s="24"/>
      <c r="E192" s="24"/>
      <c r="F192" s="24"/>
      <c r="G192" s="24"/>
      <c r="H192" s="24"/>
      <c r="I192" s="24"/>
      <c r="J192" s="24"/>
      <c r="M192" s="48"/>
      <c r="N192" s="48"/>
      <c r="O192" s="48"/>
      <c r="P192" s="50"/>
    </row>
    <row r="193" ht="15.0" customHeight="1">
      <c r="B193" s="24"/>
      <c r="C193" s="24"/>
      <c r="D193" s="24"/>
      <c r="E193" s="24"/>
      <c r="F193" s="24"/>
      <c r="G193" s="24"/>
      <c r="H193" s="24"/>
      <c r="I193" s="24"/>
      <c r="J193" s="24"/>
      <c r="M193" s="48"/>
      <c r="N193" s="48"/>
      <c r="O193" s="48"/>
      <c r="P193" s="50"/>
    </row>
    <row r="194" ht="15.0" customHeight="1">
      <c r="B194" s="24"/>
      <c r="C194" s="24"/>
      <c r="D194" s="24"/>
      <c r="E194" s="24"/>
      <c r="F194" s="24"/>
      <c r="G194" s="24"/>
      <c r="H194" s="24"/>
      <c r="I194" s="24"/>
      <c r="J194" s="24"/>
      <c r="M194" s="48"/>
      <c r="N194" s="48"/>
      <c r="O194" s="48"/>
      <c r="P194" s="50"/>
    </row>
    <row r="195" ht="15.0" customHeight="1">
      <c r="B195" s="24"/>
      <c r="C195" s="24"/>
      <c r="D195" s="24"/>
      <c r="E195" s="24"/>
      <c r="F195" s="24"/>
      <c r="G195" s="24"/>
      <c r="H195" s="24"/>
      <c r="I195" s="24"/>
      <c r="J195" s="24"/>
      <c r="M195" s="48"/>
      <c r="N195" s="48"/>
      <c r="O195" s="48"/>
      <c r="P195" s="50"/>
    </row>
    <row r="196" ht="15.0" customHeight="1">
      <c r="B196" s="24"/>
      <c r="C196" s="24"/>
      <c r="D196" s="24"/>
      <c r="E196" s="24"/>
      <c r="F196" s="24"/>
      <c r="G196" s="24"/>
      <c r="H196" s="24"/>
      <c r="I196" s="24"/>
      <c r="J196" s="24"/>
      <c r="M196" s="48"/>
      <c r="N196" s="48"/>
      <c r="O196" s="48"/>
      <c r="P196" s="50"/>
    </row>
    <row r="197" ht="15.0" customHeight="1">
      <c r="B197" s="24"/>
      <c r="C197" s="24"/>
      <c r="D197" s="24"/>
      <c r="E197" s="24"/>
      <c r="F197" s="24"/>
      <c r="G197" s="24"/>
      <c r="H197" s="24"/>
      <c r="I197" s="24"/>
      <c r="J197" s="24"/>
      <c r="M197" s="48"/>
      <c r="N197" s="48"/>
      <c r="O197" s="48"/>
      <c r="P197" s="50"/>
    </row>
    <row r="198" ht="15.0" customHeight="1">
      <c r="B198" s="24"/>
      <c r="C198" s="24"/>
      <c r="D198" s="24"/>
      <c r="E198" s="24"/>
      <c r="F198" s="24"/>
      <c r="G198" s="24"/>
      <c r="H198" s="24"/>
      <c r="I198" s="24"/>
      <c r="J198" s="24"/>
      <c r="M198" s="48"/>
      <c r="N198" s="48"/>
      <c r="O198" s="48"/>
      <c r="P198" s="50"/>
    </row>
    <row r="199" ht="15.0" customHeight="1">
      <c r="B199" s="24"/>
      <c r="C199" s="24"/>
      <c r="D199" s="24"/>
      <c r="E199" s="24"/>
      <c r="F199" s="24"/>
      <c r="G199" s="24"/>
      <c r="H199" s="24"/>
      <c r="I199" s="24"/>
      <c r="J199" s="24"/>
      <c r="M199" s="48"/>
      <c r="N199" s="48"/>
      <c r="O199" s="48"/>
      <c r="P199" s="50"/>
    </row>
    <row r="200" ht="15.0" customHeight="1">
      <c r="B200" s="24"/>
      <c r="C200" s="24"/>
      <c r="D200" s="24"/>
      <c r="E200" s="24"/>
      <c r="F200" s="24"/>
      <c r="G200" s="24"/>
      <c r="H200" s="24"/>
      <c r="I200" s="24"/>
      <c r="J200" s="24"/>
      <c r="M200" s="48"/>
      <c r="N200" s="48"/>
      <c r="O200" s="48"/>
      <c r="P200" s="50"/>
    </row>
    <row r="201" ht="15.0" customHeight="1">
      <c r="B201" s="24"/>
      <c r="C201" s="24"/>
      <c r="D201" s="24"/>
      <c r="E201" s="24"/>
      <c r="F201" s="24"/>
      <c r="G201" s="24"/>
      <c r="H201" s="24"/>
      <c r="I201" s="24"/>
      <c r="J201" s="24"/>
      <c r="M201" s="48"/>
      <c r="N201" s="48"/>
      <c r="O201" s="48"/>
      <c r="P201" s="50"/>
    </row>
    <row r="202" ht="15.0" customHeight="1">
      <c r="B202" s="24"/>
      <c r="C202" s="24"/>
      <c r="D202" s="24"/>
      <c r="E202" s="24"/>
      <c r="F202" s="24"/>
      <c r="G202" s="24"/>
      <c r="H202" s="24"/>
      <c r="I202" s="24"/>
      <c r="J202" s="24"/>
      <c r="M202" s="48"/>
      <c r="N202" s="48"/>
      <c r="O202" s="48"/>
      <c r="P202" s="50"/>
    </row>
    <row r="203" ht="15.0" customHeight="1">
      <c r="B203" s="24"/>
      <c r="C203" s="24"/>
      <c r="D203" s="24"/>
      <c r="E203" s="24"/>
      <c r="F203" s="24"/>
      <c r="G203" s="24"/>
      <c r="H203" s="24"/>
      <c r="I203" s="24"/>
      <c r="J203" s="24"/>
      <c r="M203" s="48"/>
      <c r="N203" s="48"/>
      <c r="O203" s="48"/>
      <c r="P203" s="50"/>
    </row>
    <row r="204" ht="15.0" customHeight="1">
      <c r="B204" s="24"/>
      <c r="C204" s="24"/>
      <c r="D204" s="24"/>
      <c r="E204" s="24"/>
      <c r="F204" s="24"/>
      <c r="G204" s="24"/>
      <c r="H204" s="24"/>
      <c r="I204" s="24"/>
      <c r="J204" s="24"/>
      <c r="M204" s="48"/>
      <c r="N204" s="48"/>
      <c r="O204" s="48"/>
      <c r="P204" s="50"/>
    </row>
    <row r="205" ht="15.0" customHeight="1">
      <c r="B205" s="24"/>
      <c r="C205" s="24"/>
      <c r="D205" s="24"/>
      <c r="E205" s="24"/>
      <c r="F205" s="24"/>
      <c r="G205" s="24"/>
      <c r="H205" s="24"/>
      <c r="I205" s="24"/>
      <c r="J205" s="24"/>
      <c r="M205" s="48"/>
      <c r="N205" s="48"/>
      <c r="O205" s="48"/>
      <c r="P205" s="50"/>
    </row>
    <row r="206" ht="15.0" customHeight="1">
      <c r="B206" s="24"/>
      <c r="C206" s="24"/>
      <c r="D206" s="24"/>
      <c r="E206" s="24"/>
      <c r="F206" s="24"/>
      <c r="G206" s="24"/>
      <c r="H206" s="24"/>
      <c r="I206" s="24"/>
      <c r="J206" s="24"/>
      <c r="M206" s="48"/>
      <c r="N206" s="48"/>
      <c r="O206" s="48"/>
      <c r="P206" s="50"/>
    </row>
    <row r="207" ht="15.0" customHeight="1">
      <c r="B207" s="24"/>
      <c r="C207" s="24"/>
      <c r="D207" s="24"/>
      <c r="E207" s="24"/>
      <c r="F207" s="24"/>
      <c r="G207" s="24"/>
      <c r="H207" s="24"/>
      <c r="I207" s="24"/>
      <c r="J207" s="24"/>
      <c r="M207" s="48"/>
      <c r="N207" s="48"/>
      <c r="O207" s="48"/>
      <c r="P207" s="50"/>
    </row>
    <row r="208" ht="15.0" customHeight="1">
      <c r="B208" s="24"/>
      <c r="C208" s="24"/>
      <c r="D208" s="24"/>
      <c r="E208" s="24"/>
      <c r="F208" s="24"/>
      <c r="G208" s="24"/>
      <c r="H208" s="24"/>
      <c r="I208" s="24"/>
      <c r="J208" s="24"/>
      <c r="M208" s="48"/>
      <c r="N208" s="48"/>
      <c r="O208" s="48"/>
      <c r="P208" s="50"/>
    </row>
    <row r="209" ht="15.0" customHeight="1">
      <c r="B209" s="24"/>
      <c r="C209" s="24"/>
      <c r="D209" s="24"/>
      <c r="E209" s="24"/>
      <c r="F209" s="24"/>
      <c r="G209" s="24"/>
      <c r="H209" s="24"/>
      <c r="I209" s="24"/>
      <c r="J209" s="24"/>
      <c r="M209" s="48"/>
      <c r="N209" s="48"/>
      <c r="O209" s="48"/>
      <c r="P209" s="50"/>
    </row>
    <row r="210" ht="15.0" customHeight="1">
      <c r="B210" s="24"/>
      <c r="C210" s="24"/>
      <c r="D210" s="24"/>
      <c r="E210" s="24"/>
      <c r="F210" s="24"/>
      <c r="G210" s="24"/>
      <c r="H210" s="24"/>
      <c r="I210" s="24"/>
      <c r="J210" s="24"/>
      <c r="M210" s="48"/>
      <c r="N210" s="48"/>
      <c r="O210" s="48"/>
      <c r="P210" s="50"/>
    </row>
    <row r="211" ht="15.0" customHeight="1">
      <c r="B211" s="24"/>
      <c r="C211" s="24"/>
      <c r="D211" s="24"/>
      <c r="E211" s="24"/>
      <c r="F211" s="24"/>
      <c r="G211" s="24"/>
      <c r="H211" s="24"/>
      <c r="I211" s="24"/>
      <c r="J211" s="24"/>
      <c r="M211" s="48"/>
      <c r="N211" s="48"/>
      <c r="O211" s="48"/>
      <c r="P211" s="50"/>
    </row>
    <row r="212" ht="15.0" customHeight="1">
      <c r="B212" s="24"/>
      <c r="C212" s="24"/>
      <c r="D212" s="24"/>
      <c r="E212" s="24"/>
      <c r="F212" s="24"/>
      <c r="G212" s="24"/>
      <c r="H212" s="24"/>
      <c r="I212" s="24"/>
      <c r="J212" s="24"/>
      <c r="M212" s="48"/>
      <c r="N212" s="48"/>
      <c r="O212" s="48"/>
      <c r="P212" s="50"/>
    </row>
    <row r="213" ht="15.0" customHeight="1">
      <c r="B213" s="24"/>
      <c r="C213" s="24"/>
      <c r="D213" s="24"/>
      <c r="E213" s="24"/>
      <c r="F213" s="24"/>
      <c r="G213" s="24"/>
      <c r="H213" s="24"/>
      <c r="I213" s="24"/>
      <c r="J213" s="24"/>
      <c r="M213" s="48"/>
      <c r="N213" s="48"/>
      <c r="O213" s="48"/>
      <c r="P213" s="50"/>
    </row>
    <row r="214" ht="15.0" customHeight="1">
      <c r="B214" s="24"/>
      <c r="C214" s="24"/>
      <c r="D214" s="24"/>
      <c r="E214" s="24"/>
      <c r="F214" s="24"/>
      <c r="G214" s="24"/>
      <c r="H214" s="24"/>
      <c r="I214" s="24"/>
      <c r="J214" s="24"/>
      <c r="M214" s="48"/>
      <c r="N214" s="48"/>
      <c r="O214" s="48"/>
      <c r="P214" s="50"/>
    </row>
    <row r="215" ht="15.0" customHeight="1">
      <c r="B215" s="24"/>
      <c r="C215" s="24"/>
      <c r="D215" s="24"/>
      <c r="E215" s="24"/>
      <c r="F215" s="24"/>
      <c r="G215" s="24"/>
      <c r="H215" s="24"/>
      <c r="I215" s="24"/>
      <c r="J215" s="24"/>
      <c r="M215" s="48"/>
      <c r="N215" s="48"/>
      <c r="O215" s="48"/>
      <c r="P215" s="50"/>
    </row>
    <row r="216" ht="15.0" customHeight="1">
      <c r="B216" s="24"/>
      <c r="C216" s="24"/>
      <c r="D216" s="24"/>
      <c r="E216" s="24"/>
      <c r="F216" s="24"/>
      <c r="G216" s="24"/>
      <c r="H216" s="24"/>
      <c r="I216" s="24"/>
      <c r="J216" s="24"/>
      <c r="M216" s="48"/>
      <c r="N216" s="48"/>
      <c r="O216" s="48"/>
      <c r="P216" s="50"/>
    </row>
    <row r="217" ht="15.0" customHeight="1">
      <c r="B217" s="24"/>
      <c r="C217" s="24"/>
      <c r="D217" s="24"/>
      <c r="E217" s="24"/>
      <c r="F217" s="24"/>
      <c r="G217" s="24"/>
      <c r="H217" s="24"/>
      <c r="I217" s="24"/>
      <c r="J217" s="24"/>
      <c r="M217" s="48"/>
      <c r="N217" s="48"/>
      <c r="O217" s="48"/>
      <c r="P217" s="50"/>
    </row>
    <row r="218" ht="15.0" customHeight="1">
      <c r="B218" s="24"/>
      <c r="C218" s="24"/>
      <c r="D218" s="24"/>
      <c r="E218" s="24"/>
      <c r="F218" s="24"/>
      <c r="G218" s="24"/>
      <c r="H218" s="24"/>
      <c r="I218" s="24"/>
      <c r="J218" s="24"/>
      <c r="M218" s="48"/>
      <c r="N218" s="48"/>
      <c r="O218" s="48"/>
      <c r="P218" s="50"/>
    </row>
    <row r="219" ht="15.0" customHeight="1">
      <c r="B219" s="24"/>
      <c r="C219" s="24"/>
      <c r="D219" s="24"/>
      <c r="E219" s="24"/>
      <c r="F219" s="24"/>
      <c r="G219" s="24"/>
      <c r="H219" s="24"/>
      <c r="I219" s="24"/>
      <c r="J219" s="24"/>
      <c r="M219" s="48"/>
      <c r="N219" s="48"/>
      <c r="O219" s="48"/>
      <c r="P219" s="50"/>
    </row>
    <row r="220" ht="15.0" customHeight="1">
      <c r="B220" s="24"/>
      <c r="C220" s="24"/>
      <c r="D220" s="24"/>
      <c r="E220" s="24"/>
      <c r="F220" s="24"/>
      <c r="G220" s="24"/>
      <c r="H220" s="24"/>
      <c r="I220" s="24"/>
      <c r="J220" s="24"/>
      <c r="M220" s="48"/>
      <c r="N220" s="48"/>
      <c r="O220" s="48"/>
      <c r="P220" s="50"/>
    </row>
    <row r="221" ht="15.0" customHeight="1">
      <c r="B221" s="24"/>
      <c r="C221" s="24"/>
      <c r="D221" s="24"/>
      <c r="E221" s="24"/>
      <c r="F221" s="24"/>
      <c r="G221" s="24"/>
      <c r="H221" s="24"/>
      <c r="I221" s="24"/>
      <c r="J221" s="24"/>
      <c r="M221" s="48"/>
      <c r="N221" s="48"/>
      <c r="O221" s="48"/>
      <c r="P221" s="50"/>
    </row>
    <row r="222" ht="15.0" customHeight="1">
      <c r="B222" s="24"/>
      <c r="C222" s="24"/>
      <c r="D222" s="24"/>
      <c r="E222" s="24"/>
      <c r="F222" s="24"/>
      <c r="G222" s="24"/>
      <c r="H222" s="24"/>
      <c r="I222" s="24"/>
      <c r="J222" s="24"/>
      <c r="M222" s="48"/>
      <c r="N222" s="48"/>
      <c r="O222" s="48"/>
      <c r="P222" s="50"/>
    </row>
    <row r="223" ht="15.0" customHeight="1">
      <c r="B223" s="24"/>
      <c r="C223" s="24"/>
      <c r="D223" s="24"/>
      <c r="E223" s="24"/>
      <c r="F223" s="24"/>
      <c r="G223" s="24"/>
      <c r="H223" s="24"/>
      <c r="I223" s="24"/>
      <c r="J223" s="24"/>
      <c r="M223" s="48"/>
      <c r="N223" s="48"/>
      <c r="O223" s="48"/>
      <c r="P223" s="50"/>
    </row>
    <row r="224" ht="15.0" customHeight="1">
      <c r="B224" s="24"/>
      <c r="C224" s="24"/>
      <c r="D224" s="24"/>
      <c r="E224" s="24"/>
      <c r="F224" s="24"/>
      <c r="G224" s="24"/>
      <c r="H224" s="24"/>
      <c r="I224" s="24"/>
      <c r="J224" s="24"/>
      <c r="M224" s="48"/>
      <c r="N224" s="48"/>
      <c r="O224" s="48"/>
      <c r="P224" s="50"/>
    </row>
    <row r="225" ht="15.0" customHeight="1">
      <c r="B225" s="24"/>
      <c r="C225" s="24"/>
      <c r="D225" s="24"/>
      <c r="E225" s="24"/>
      <c r="F225" s="24"/>
      <c r="G225" s="24"/>
      <c r="H225" s="24"/>
      <c r="I225" s="24"/>
      <c r="J225" s="24"/>
      <c r="M225" s="48"/>
      <c r="N225" s="48"/>
      <c r="O225" s="48"/>
      <c r="P225" s="50"/>
    </row>
    <row r="226" ht="15.0" customHeight="1">
      <c r="B226" s="24"/>
      <c r="C226" s="24"/>
      <c r="D226" s="24"/>
      <c r="E226" s="24"/>
      <c r="F226" s="24"/>
      <c r="G226" s="24"/>
      <c r="H226" s="24"/>
      <c r="I226" s="24"/>
      <c r="J226" s="24"/>
      <c r="M226" s="48"/>
      <c r="N226" s="48"/>
      <c r="O226" s="48"/>
      <c r="P226" s="50"/>
    </row>
    <row r="227" ht="15.0" customHeight="1">
      <c r="B227" s="24"/>
      <c r="C227" s="24"/>
      <c r="D227" s="24"/>
      <c r="E227" s="24"/>
      <c r="F227" s="24"/>
      <c r="G227" s="24"/>
      <c r="H227" s="24"/>
      <c r="I227" s="24"/>
      <c r="J227" s="24"/>
      <c r="M227" s="48"/>
      <c r="N227" s="48"/>
      <c r="O227" s="48"/>
      <c r="P227" s="50"/>
    </row>
    <row r="228" ht="15.0" customHeight="1">
      <c r="B228" s="24"/>
      <c r="C228" s="24"/>
      <c r="D228" s="24"/>
      <c r="E228" s="24"/>
      <c r="F228" s="24"/>
      <c r="G228" s="24"/>
      <c r="H228" s="24"/>
      <c r="I228" s="24"/>
      <c r="J228" s="24"/>
      <c r="M228" s="48"/>
      <c r="N228" s="48"/>
      <c r="O228" s="48"/>
      <c r="P228" s="50"/>
    </row>
    <row r="229" ht="15.0" customHeight="1">
      <c r="B229" s="24"/>
      <c r="C229" s="24"/>
      <c r="D229" s="24"/>
      <c r="E229" s="24"/>
      <c r="F229" s="24"/>
      <c r="G229" s="24"/>
      <c r="H229" s="24"/>
      <c r="I229" s="24"/>
      <c r="J229" s="24"/>
      <c r="M229" s="48"/>
      <c r="N229" s="48"/>
      <c r="O229" s="48"/>
      <c r="P229" s="50"/>
    </row>
    <row r="230" ht="15.0" customHeight="1">
      <c r="B230" s="24"/>
      <c r="C230" s="24"/>
      <c r="D230" s="24"/>
      <c r="E230" s="24"/>
      <c r="F230" s="24"/>
      <c r="G230" s="24"/>
      <c r="H230" s="24"/>
      <c r="I230" s="24"/>
      <c r="J230" s="24"/>
      <c r="M230" s="48"/>
      <c r="N230" s="48"/>
      <c r="O230" s="48"/>
      <c r="P230" s="50"/>
    </row>
    <row r="231" ht="15.0" customHeight="1">
      <c r="B231" s="24"/>
      <c r="C231" s="24"/>
      <c r="D231" s="24"/>
      <c r="E231" s="24"/>
      <c r="F231" s="24"/>
      <c r="G231" s="24"/>
      <c r="H231" s="24"/>
      <c r="I231" s="24"/>
      <c r="J231" s="24"/>
      <c r="M231" s="48"/>
      <c r="N231" s="48"/>
      <c r="O231" s="48"/>
      <c r="P231" s="50"/>
    </row>
    <row r="232" ht="15.0" customHeight="1">
      <c r="B232" s="24"/>
      <c r="C232" s="24"/>
      <c r="D232" s="24"/>
      <c r="E232" s="24"/>
      <c r="F232" s="24"/>
      <c r="G232" s="24"/>
      <c r="H232" s="24"/>
      <c r="I232" s="24"/>
      <c r="J232" s="24"/>
      <c r="M232" s="48"/>
      <c r="N232" s="48"/>
      <c r="O232" s="48"/>
      <c r="P232" s="50"/>
    </row>
    <row r="233" ht="15.0" customHeight="1">
      <c r="B233" s="24"/>
      <c r="C233" s="24"/>
      <c r="D233" s="24"/>
      <c r="E233" s="24"/>
      <c r="F233" s="24"/>
      <c r="G233" s="24"/>
      <c r="H233" s="24"/>
      <c r="I233" s="24"/>
      <c r="J233" s="24"/>
      <c r="M233" s="48"/>
      <c r="N233" s="48"/>
      <c r="O233" s="48"/>
      <c r="P233" s="50"/>
    </row>
    <row r="234" ht="15.0" customHeight="1">
      <c r="B234" s="24"/>
      <c r="C234" s="24"/>
      <c r="D234" s="24"/>
      <c r="E234" s="24"/>
      <c r="F234" s="24"/>
      <c r="G234" s="24"/>
      <c r="H234" s="24"/>
      <c r="I234" s="24"/>
      <c r="J234" s="24"/>
      <c r="M234" s="48"/>
      <c r="N234" s="48"/>
      <c r="O234" s="48"/>
      <c r="P234" s="50"/>
    </row>
    <row r="235" ht="15.0" customHeight="1">
      <c r="B235" s="24"/>
      <c r="C235" s="24"/>
      <c r="D235" s="24"/>
      <c r="E235" s="24"/>
      <c r="F235" s="24"/>
      <c r="G235" s="24"/>
      <c r="H235" s="24"/>
      <c r="I235" s="24"/>
      <c r="J235" s="24"/>
      <c r="M235" s="48"/>
      <c r="N235" s="48"/>
      <c r="O235" s="48"/>
      <c r="P235" s="50"/>
    </row>
    <row r="236" ht="15.0" customHeight="1">
      <c r="B236" s="24"/>
      <c r="C236" s="24"/>
      <c r="D236" s="24"/>
      <c r="E236" s="24"/>
      <c r="F236" s="24"/>
      <c r="G236" s="24"/>
      <c r="H236" s="24"/>
      <c r="I236" s="24"/>
      <c r="J236" s="24"/>
      <c r="M236" s="48"/>
      <c r="N236" s="48"/>
      <c r="O236" s="48"/>
      <c r="P236" s="50"/>
    </row>
    <row r="237" ht="15.0" customHeight="1">
      <c r="B237" s="24"/>
      <c r="C237" s="24"/>
      <c r="D237" s="24"/>
      <c r="E237" s="24"/>
      <c r="F237" s="24"/>
      <c r="G237" s="24"/>
      <c r="H237" s="24"/>
      <c r="I237" s="24"/>
      <c r="J237" s="24"/>
      <c r="M237" s="48"/>
      <c r="N237" s="48"/>
      <c r="O237" s="48"/>
      <c r="P237" s="50"/>
    </row>
    <row r="238" ht="15.0" customHeight="1">
      <c r="B238" s="24"/>
      <c r="C238" s="24"/>
      <c r="D238" s="24"/>
      <c r="E238" s="24"/>
      <c r="F238" s="24"/>
      <c r="G238" s="24"/>
      <c r="H238" s="24"/>
      <c r="I238" s="24"/>
      <c r="J238" s="24"/>
      <c r="M238" s="48"/>
      <c r="N238" s="48"/>
      <c r="O238" s="48"/>
      <c r="P238" s="50"/>
    </row>
    <row r="239" ht="15.0" customHeight="1">
      <c r="B239" s="24"/>
      <c r="C239" s="24"/>
      <c r="D239" s="24"/>
      <c r="E239" s="24"/>
      <c r="F239" s="24"/>
      <c r="G239" s="24"/>
      <c r="H239" s="24"/>
      <c r="I239" s="24"/>
      <c r="J239" s="24"/>
      <c r="M239" s="48"/>
      <c r="N239" s="48"/>
      <c r="O239" s="48"/>
      <c r="P239" s="50"/>
    </row>
    <row r="240" ht="15.0" customHeight="1">
      <c r="B240" s="24"/>
      <c r="C240" s="24"/>
      <c r="D240" s="24"/>
      <c r="E240" s="24"/>
      <c r="F240" s="24"/>
      <c r="G240" s="24"/>
      <c r="H240" s="24"/>
      <c r="I240" s="24"/>
      <c r="J240" s="24"/>
      <c r="M240" s="48"/>
      <c r="N240" s="48"/>
      <c r="O240" s="48"/>
      <c r="P240" s="50"/>
    </row>
    <row r="241" ht="15.0" customHeight="1">
      <c r="B241" s="24"/>
      <c r="C241" s="24"/>
      <c r="D241" s="24"/>
      <c r="E241" s="24"/>
      <c r="F241" s="24"/>
      <c r="G241" s="24"/>
      <c r="H241" s="24"/>
      <c r="I241" s="24"/>
      <c r="J241" s="24"/>
      <c r="M241" s="48"/>
      <c r="N241" s="48"/>
      <c r="O241" s="48"/>
      <c r="P241" s="50"/>
    </row>
    <row r="242" ht="15.0" customHeight="1">
      <c r="B242" s="24"/>
      <c r="C242" s="24"/>
      <c r="D242" s="24"/>
      <c r="E242" s="24"/>
      <c r="F242" s="24"/>
      <c r="G242" s="24"/>
      <c r="H242" s="24"/>
      <c r="I242" s="24"/>
      <c r="J242" s="24"/>
      <c r="M242" s="48"/>
      <c r="N242" s="48"/>
      <c r="O242" s="48"/>
      <c r="P242" s="50"/>
    </row>
    <row r="243" ht="15.0" customHeight="1">
      <c r="B243" s="24"/>
      <c r="C243" s="24"/>
      <c r="D243" s="24"/>
      <c r="E243" s="24"/>
      <c r="F243" s="24"/>
      <c r="G243" s="24"/>
      <c r="H243" s="24"/>
      <c r="I243" s="24"/>
      <c r="J243" s="24"/>
      <c r="M243" s="48"/>
      <c r="N243" s="48"/>
      <c r="O243" s="48"/>
      <c r="P243" s="50"/>
    </row>
    <row r="244" ht="15.0" customHeight="1">
      <c r="B244" s="24"/>
      <c r="C244" s="24"/>
      <c r="D244" s="24"/>
      <c r="E244" s="24"/>
      <c r="F244" s="24"/>
      <c r="G244" s="24"/>
      <c r="H244" s="24"/>
      <c r="I244" s="24"/>
      <c r="J244" s="24"/>
      <c r="M244" s="48"/>
      <c r="N244" s="48"/>
      <c r="O244" s="48"/>
      <c r="P244" s="50"/>
    </row>
    <row r="245" ht="15.0" customHeight="1">
      <c r="B245" s="24"/>
      <c r="C245" s="24"/>
      <c r="D245" s="24"/>
      <c r="E245" s="24"/>
      <c r="F245" s="24"/>
      <c r="G245" s="24"/>
      <c r="H245" s="24"/>
      <c r="I245" s="24"/>
      <c r="J245" s="24"/>
      <c r="M245" s="48"/>
      <c r="N245" s="48"/>
      <c r="O245" s="48"/>
      <c r="P245" s="50"/>
    </row>
    <row r="246" ht="15.0" customHeight="1">
      <c r="B246" s="24"/>
      <c r="C246" s="24"/>
      <c r="D246" s="24"/>
      <c r="E246" s="24"/>
      <c r="F246" s="24"/>
      <c r="G246" s="24"/>
      <c r="H246" s="24"/>
      <c r="I246" s="24"/>
      <c r="J246" s="24"/>
      <c r="M246" s="48"/>
      <c r="N246" s="48"/>
      <c r="O246" s="48"/>
      <c r="P246" s="50"/>
    </row>
    <row r="247" ht="15.0" customHeight="1">
      <c r="B247" s="24"/>
      <c r="C247" s="24"/>
      <c r="D247" s="24"/>
      <c r="E247" s="24"/>
      <c r="F247" s="24"/>
      <c r="G247" s="24"/>
      <c r="H247" s="24"/>
      <c r="I247" s="24"/>
      <c r="J247" s="24"/>
      <c r="M247" s="48"/>
      <c r="N247" s="48"/>
      <c r="O247" s="48"/>
      <c r="P247" s="50"/>
    </row>
    <row r="248" ht="15.0" customHeight="1">
      <c r="B248" s="24"/>
      <c r="C248" s="24"/>
      <c r="D248" s="24"/>
      <c r="E248" s="24"/>
      <c r="F248" s="24"/>
      <c r="G248" s="24"/>
      <c r="H248" s="24"/>
      <c r="I248" s="24"/>
      <c r="J248" s="24"/>
      <c r="M248" s="48"/>
      <c r="N248" s="48"/>
      <c r="O248" s="48"/>
      <c r="P248" s="50"/>
    </row>
    <row r="249" ht="15.0" customHeight="1">
      <c r="B249" s="24"/>
      <c r="C249" s="24"/>
      <c r="D249" s="24"/>
      <c r="E249" s="24"/>
      <c r="F249" s="24"/>
      <c r="G249" s="24"/>
      <c r="H249" s="24"/>
      <c r="I249" s="24"/>
      <c r="J249" s="24"/>
      <c r="M249" s="48"/>
      <c r="N249" s="48"/>
      <c r="O249" s="48"/>
      <c r="P249" s="50"/>
    </row>
    <row r="250" ht="15.0" customHeight="1">
      <c r="B250" s="24"/>
      <c r="C250" s="24"/>
      <c r="D250" s="24"/>
      <c r="E250" s="24"/>
      <c r="F250" s="24"/>
      <c r="G250" s="24"/>
      <c r="H250" s="24"/>
      <c r="I250" s="24"/>
      <c r="J250" s="24"/>
      <c r="M250" s="48"/>
      <c r="N250" s="48"/>
      <c r="O250" s="48"/>
      <c r="P250" s="50"/>
    </row>
    <row r="251" ht="15.0" customHeight="1">
      <c r="B251" s="24"/>
      <c r="C251" s="24"/>
      <c r="D251" s="24"/>
      <c r="E251" s="24"/>
      <c r="F251" s="24"/>
      <c r="G251" s="24"/>
      <c r="H251" s="24"/>
      <c r="I251" s="24"/>
      <c r="J251" s="24"/>
      <c r="M251" s="48"/>
      <c r="N251" s="48"/>
      <c r="O251" s="48"/>
      <c r="P251" s="50"/>
    </row>
    <row r="252" ht="15.0" customHeight="1">
      <c r="B252" s="24"/>
      <c r="C252" s="24"/>
      <c r="D252" s="24"/>
      <c r="E252" s="24"/>
      <c r="F252" s="24"/>
      <c r="G252" s="24"/>
      <c r="H252" s="24"/>
      <c r="I252" s="24"/>
      <c r="J252" s="24"/>
      <c r="M252" s="48"/>
      <c r="N252" s="48"/>
      <c r="O252" s="48"/>
      <c r="P252" s="50"/>
    </row>
    <row r="253" ht="15.0" customHeight="1">
      <c r="B253" s="24"/>
      <c r="C253" s="24"/>
      <c r="D253" s="24"/>
      <c r="E253" s="24"/>
      <c r="F253" s="24"/>
      <c r="G253" s="24"/>
      <c r="H253" s="24"/>
      <c r="I253" s="24"/>
      <c r="J253" s="24"/>
      <c r="M253" s="48"/>
      <c r="N253" s="48"/>
      <c r="O253" s="48"/>
      <c r="P253" s="50"/>
    </row>
    <row r="254" ht="15.0" customHeight="1">
      <c r="B254" s="24"/>
      <c r="C254" s="24"/>
      <c r="D254" s="24"/>
      <c r="E254" s="24"/>
      <c r="F254" s="24"/>
      <c r="G254" s="24"/>
      <c r="H254" s="24"/>
      <c r="I254" s="24"/>
      <c r="J254" s="24"/>
      <c r="M254" s="48"/>
      <c r="N254" s="48"/>
      <c r="O254" s="48"/>
      <c r="P254" s="50"/>
    </row>
    <row r="255" ht="15.0" customHeight="1">
      <c r="B255" s="24"/>
      <c r="C255" s="24"/>
      <c r="D255" s="24"/>
      <c r="E255" s="24"/>
      <c r="F255" s="24"/>
      <c r="G255" s="24"/>
      <c r="H255" s="24"/>
      <c r="I255" s="24"/>
      <c r="J255" s="24"/>
      <c r="M255" s="48"/>
      <c r="N255" s="48"/>
      <c r="O255" s="48"/>
      <c r="P255" s="50"/>
    </row>
    <row r="256" ht="15.0" customHeight="1">
      <c r="B256" s="24"/>
      <c r="C256" s="24"/>
      <c r="D256" s="24"/>
      <c r="E256" s="24"/>
      <c r="F256" s="24"/>
      <c r="G256" s="24"/>
      <c r="H256" s="24"/>
      <c r="I256" s="24"/>
      <c r="J256" s="24"/>
      <c r="M256" s="48"/>
      <c r="N256" s="48"/>
      <c r="O256" s="48"/>
      <c r="P256" s="50"/>
    </row>
    <row r="257" ht="15.0" customHeight="1">
      <c r="B257" s="24"/>
      <c r="C257" s="24"/>
      <c r="D257" s="24"/>
      <c r="E257" s="24"/>
      <c r="F257" s="24"/>
      <c r="G257" s="24"/>
      <c r="H257" s="24"/>
      <c r="I257" s="24"/>
      <c r="J257" s="24"/>
      <c r="M257" s="48"/>
      <c r="N257" s="48"/>
      <c r="O257" s="48"/>
      <c r="P257" s="50"/>
    </row>
    <row r="258" ht="15.0" customHeight="1">
      <c r="B258" s="24"/>
      <c r="C258" s="24"/>
      <c r="D258" s="24"/>
      <c r="E258" s="24"/>
      <c r="F258" s="24"/>
      <c r="G258" s="24"/>
      <c r="H258" s="24"/>
      <c r="I258" s="24"/>
      <c r="J258" s="24"/>
      <c r="M258" s="48"/>
      <c r="N258" s="48"/>
      <c r="O258" s="48"/>
      <c r="P258" s="50"/>
    </row>
    <row r="259" ht="15.0" customHeight="1">
      <c r="B259" s="24"/>
      <c r="C259" s="24"/>
      <c r="D259" s="24"/>
      <c r="E259" s="24"/>
      <c r="F259" s="24"/>
      <c r="G259" s="24"/>
      <c r="H259" s="24"/>
      <c r="I259" s="24"/>
      <c r="J259" s="24"/>
      <c r="M259" s="48"/>
      <c r="N259" s="48"/>
      <c r="O259" s="48"/>
      <c r="P259" s="50"/>
    </row>
    <row r="260" ht="15.0" customHeight="1">
      <c r="B260" s="24"/>
      <c r="C260" s="24"/>
      <c r="D260" s="24"/>
      <c r="E260" s="24"/>
      <c r="F260" s="24"/>
      <c r="G260" s="24"/>
      <c r="H260" s="24"/>
      <c r="I260" s="24"/>
      <c r="J260" s="24"/>
      <c r="M260" s="48"/>
      <c r="N260" s="48"/>
      <c r="O260" s="48"/>
      <c r="P260" s="50"/>
    </row>
    <row r="261" ht="15.0" customHeight="1">
      <c r="B261" s="24"/>
      <c r="C261" s="24"/>
      <c r="D261" s="24"/>
      <c r="E261" s="24"/>
      <c r="F261" s="24"/>
      <c r="G261" s="24"/>
      <c r="H261" s="24"/>
      <c r="I261" s="24"/>
      <c r="J261" s="24"/>
      <c r="M261" s="48"/>
      <c r="N261" s="48"/>
      <c r="O261" s="48"/>
      <c r="P261" s="50"/>
    </row>
    <row r="262" ht="15.0" customHeight="1">
      <c r="B262" s="24"/>
      <c r="C262" s="24"/>
      <c r="D262" s="24"/>
      <c r="E262" s="24"/>
      <c r="F262" s="24"/>
      <c r="G262" s="24"/>
      <c r="H262" s="24"/>
      <c r="I262" s="24"/>
      <c r="J262" s="24"/>
      <c r="M262" s="48"/>
      <c r="N262" s="48"/>
      <c r="O262" s="48"/>
      <c r="P262" s="50"/>
    </row>
    <row r="263" ht="15.0" customHeight="1">
      <c r="B263" s="24"/>
      <c r="C263" s="24"/>
      <c r="D263" s="24"/>
      <c r="E263" s="24"/>
      <c r="F263" s="24"/>
      <c r="G263" s="24"/>
      <c r="H263" s="24"/>
      <c r="I263" s="24"/>
      <c r="J263" s="24"/>
      <c r="M263" s="48"/>
      <c r="N263" s="48"/>
      <c r="O263" s="48"/>
      <c r="P263" s="50"/>
    </row>
    <row r="264" ht="15.0" customHeight="1">
      <c r="B264" s="24"/>
      <c r="C264" s="24"/>
      <c r="D264" s="24"/>
      <c r="E264" s="24"/>
      <c r="F264" s="24"/>
      <c r="G264" s="24"/>
      <c r="H264" s="24"/>
      <c r="I264" s="24"/>
      <c r="J264" s="24"/>
      <c r="M264" s="48"/>
      <c r="N264" s="48"/>
      <c r="O264" s="48"/>
      <c r="P264" s="50"/>
    </row>
    <row r="265" ht="15.0" customHeight="1">
      <c r="B265" s="24"/>
      <c r="C265" s="24"/>
      <c r="D265" s="24"/>
      <c r="E265" s="24"/>
      <c r="F265" s="24"/>
      <c r="G265" s="24"/>
      <c r="H265" s="24"/>
      <c r="I265" s="24"/>
      <c r="J265" s="24"/>
      <c r="M265" s="48"/>
      <c r="N265" s="48"/>
      <c r="O265" s="48"/>
      <c r="P265" s="50"/>
    </row>
    <row r="266" ht="15.0" customHeight="1">
      <c r="B266" s="24"/>
      <c r="C266" s="24"/>
      <c r="D266" s="24"/>
      <c r="E266" s="24"/>
      <c r="F266" s="24"/>
      <c r="G266" s="24"/>
      <c r="H266" s="24"/>
      <c r="I266" s="24"/>
      <c r="J266" s="24"/>
      <c r="M266" s="48"/>
      <c r="N266" s="48"/>
      <c r="O266" s="48"/>
      <c r="P266" s="50"/>
    </row>
    <row r="267" ht="15.0" customHeight="1">
      <c r="B267" s="24"/>
      <c r="C267" s="24"/>
      <c r="D267" s="24"/>
      <c r="E267" s="24"/>
      <c r="F267" s="24"/>
      <c r="G267" s="24"/>
      <c r="H267" s="24"/>
      <c r="I267" s="24"/>
      <c r="J267" s="24"/>
      <c r="M267" s="48"/>
      <c r="N267" s="48"/>
      <c r="O267" s="48"/>
      <c r="P267" s="50"/>
    </row>
    <row r="268" ht="15.0" customHeight="1">
      <c r="B268" s="24"/>
      <c r="C268" s="24"/>
      <c r="D268" s="24"/>
      <c r="E268" s="24"/>
      <c r="F268" s="24"/>
      <c r="G268" s="24"/>
      <c r="H268" s="24"/>
      <c r="I268" s="24"/>
      <c r="J268" s="24"/>
      <c r="M268" s="48"/>
      <c r="N268" s="48"/>
      <c r="O268" s="48"/>
      <c r="P268" s="50"/>
    </row>
    <row r="269" ht="15.0" customHeight="1">
      <c r="B269" s="24"/>
      <c r="C269" s="24"/>
      <c r="D269" s="24"/>
      <c r="E269" s="24"/>
      <c r="F269" s="24"/>
      <c r="G269" s="24"/>
      <c r="H269" s="24"/>
      <c r="I269" s="24"/>
      <c r="J269" s="24"/>
      <c r="M269" s="48"/>
      <c r="N269" s="48"/>
      <c r="O269" s="48"/>
      <c r="P269" s="50"/>
    </row>
    <row r="270" ht="15.0" customHeight="1">
      <c r="B270" s="24"/>
      <c r="C270" s="24"/>
      <c r="D270" s="24"/>
      <c r="E270" s="24"/>
      <c r="F270" s="24"/>
      <c r="G270" s="24"/>
      <c r="H270" s="24"/>
      <c r="I270" s="24"/>
      <c r="J270" s="24"/>
      <c r="M270" s="48"/>
      <c r="N270" s="48"/>
      <c r="O270" s="48"/>
      <c r="P270" s="50"/>
    </row>
    <row r="271" ht="15.0" customHeight="1">
      <c r="B271" s="24"/>
      <c r="C271" s="24"/>
      <c r="D271" s="24"/>
      <c r="E271" s="24"/>
      <c r="F271" s="24"/>
      <c r="G271" s="24"/>
      <c r="H271" s="24"/>
      <c r="I271" s="24"/>
      <c r="J271" s="24"/>
      <c r="M271" s="48"/>
      <c r="N271" s="48"/>
      <c r="O271" s="48"/>
      <c r="P271" s="50"/>
    </row>
    <row r="272" ht="15.0" customHeight="1">
      <c r="B272" s="24"/>
      <c r="C272" s="24"/>
      <c r="D272" s="24"/>
      <c r="E272" s="24"/>
      <c r="F272" s="24"/>
      <c r="G272" s="24"/>
      <c r="H272" s="24"/>
      <c r="I272" s="24"/>
      <c r="J272" s="24"/>
      <c r="M272" s="48"/>
      <c r="N272" s="48"/>
      <c r="O272" s="48"/>
      <c r="P272" s="50"/>
    </row>
    <row r="273" ht="15.0" customHeight="1">
      <c r="B273" s="24"/>
      <c r="C273" s="24"/>
      <c r="D273" s="24"/>
      <c r="E273" s="24"/>
      <c r="F273" s="24"/>
      <c r="G273" s="24"/>
      <c r="H273" s="24"/>
      <c r="I273" s="24"/>
      <c r="J273" s="24"/>
      <c r="M273" s="48"/>
      <c r="N273" s="48"/>
      <c r="O273" s="48"/>
      <c r="P273" s="50"/>
    </row>
    <row r="274" ht="15.0" customHeight="1">
      <c r="B274" s="24"/>
      <c r="C274" s="24"/>
      <c r="D274" s="24"/>
      <c r="E274" s="24"/>
      <c r="F274" s="24"/>
      <c r="G274" s="24"/>
      <c r="H274" s="24"/>
      <c r="I274" s="24"/>
      <c r="J274" s="24"/>
      <c r="M274" s="48"/>
      <c r="N274" s="48"/>
      <c r="O274" s="48"/>
      <c r="P274" s="50"/>
    </row>
    <row r="275" ht="15.0" customHeight="1">
      <c r="B275" s="24"/>
      <c r="C275" s="24"/>
      <c r="D275" s="24"/>
      <c r="E275" s="24"/>
      <c r="F275" s="24"/>
      <c r="G275" s="24"/>
      <c r="H275" s="24"/>
      <c r="I275" s="24"/>
      <c r="J275" s="24"/>
      <c r="M275" s="48"/>
      <c r="N275" s="48"/>
      <c r="O275" s="48"/>
      <c r="P275" s="50"/>
    </row>
    <row r="276" ht="15.0" customHeight="1">
      <c r="B276" s="24"/>
      <c r="C276" s="24"/>
      <c r="D276" s="24"/>
      <c r="E276" s="24"/>
      <c r="F276" s="24"/>
      <c r="G276" s="24"/>
      <c r="H276" s="24"/>
      <c r="I276" s="24"/>
      <c r="J276" s="24"/>
      <c r="M276" s="48"/>
      <c r="N276" s="48"/>
      <c r="O276" s="48"/>
      <c r="P276" s="50"/>
    </row>
    <row r="277" ht="15.0" customHeight="1">
      <c r="B277" s="24"/>
      <c r="C277" s="24"/>
      <c r="D277" s="24"/>
      <c r="E277" s="24"/>
      <c r="F277" s="24"/>
      <c r="G277" s="24"/>
      <c r="H277" s="24"/>
      <c r="I277" s="24"/>
      <c r="J277" s="24"/>
      <c r="M277" s="48"/>
      <c r="N277" s="48"/>
      <c r="O277" s="48"/>
      <c r="P277" s="50"/>
    </row>
    <row r="278" ht="15.0" customHeight="1">
      <c r="B278" s="24"/>
      <c r="C278" s="24"/>
      <c r="D278" s="24"/>
      <c r="E278" s="24"/>
      <c r="F278" s="24"/>
      <c r="G278" s="24"/>
      <c r="H278" s="24"/>
      <c r="I278" s="24"/>
      <c r="J278" s="24"/>
      <c r="M278" s="48"/>
      <c r="N278" s="48"/>
      <c r="O278" s="48"/>
      <c r="P278" s="50"/>
    </row>
    <row r="279" ht="15.0" customHeight="1">
      <c r="B279" s="24"/>
      <c r="C279" s="24"/>
      <c r="D279" s="24"/>
      <c r="E279" s="24"/>
      <c r="F279" s="24"/>
      <c r="G279" s="24"/>
      <c r="H279" s="24"/>
      <c r="I279" s="24"/>
      <c r="J279" s="24"/>
      <c r="M279" s="48"/>
      <c r="N279" s="48"/>
      <c r="O279" s="48"/>
      <c r="P279" s="50"/>
    </row>
    <row r="280" ht="15.0" customHeight="1">
      <c r="B280" s="24"/>
      <c r="C280" s="24"/>
      <c r="D280" s="24"/>
      <c r="E280" s="24"/>
      <c r="F280" s="24"/>
      <c r="G280" s="24"/>
      <c r="H280" s="24"/>
      <c r="I280" s="24"/>
      <c r="J280" s="24"/>
      <c r="M280" s="48"/>
      <c r="N280" s="48"/>
      <c r="O280" s="48"/>
      <c r="P280" s="50"/>
    </row>
    <row r="281" ht="15.0" customHeight="1">
      <c r="B281" s="24"/>
      <c r="C281" s="24"/>
      <c r="D281" s="24"/>
      <c r="E281" s="24"/>
      <c r="F281" s="24"/>
      <c r="G281" s="24"/>
      <c r="H281" s="24"/>
      <c r="I281" s="24"/>
      <c r="J281" s="24"/>
      <c r="M281" s="48"/>
      <c r="N281" s="48"/>
      <c r="O281" s="48"/>
      <c r="P281" s="50"/>
    </row>
    <row r="282" ht="15.0" customHeight="1">
      <c r="B282" s="24"/>
      <c r="C282" s="24"/>
      <c r="D282" s="24"/>
      <c r="E282" s="24"/>
      <c r="F282" s="24"/>
      <c r="G282" s="24"/>
      <c r="H282" s="24"/>
      <c r="I282" s="24"/>
      <c r="J282" s="24"/>
      <c r="M282" s="48"/>
      <c r="N282" s="48"/>
      <c r="O282" s="48"/>
      <c r="P282" s="50"/>
    </row>
    <row r="283" ht="15.0" customHeight="1">
      <c r="B283" s="24"/>
      <c r="C283" s="24"/>
      <c r="D283" s="24"/>
      <c r="E283" s="24"/>
      <c r="F283" s="24"/>
      <c r="G283" s="24"/>
      <c r="H283" s="24"/>
      <c r="I283" s="24"/>
      <c r="J283" s="24"/>
      <c r="M283" s="48"/>
      <c r="N283" s="48"/>
      <c r="O283" s="48"/>
      <c r="P283" s="50"/>
    </row>
    <row r="284" ht="15.0" customHeight="1">
      <c r="B284" s="24"/>
      <c r="C284" s="24"/>
      <c r="D284" s="24"/>
      <c r="E284" s="24"/>
      <c r="F284" s="24"/>
      <c r="G284" s="24"/>
      <c r="H284" s="24"/>
      <c r="I284" s="24"/>
      <c r="J284" s="24"/>
      <c r="M284" s="48"/>
      <c r="N284" s="48"/>
      <c r="O284" s="48"/>
      <c r="P284" s="50"/>
    </row>
    <row r="285" ht="15.0" customHeight="1">
      <c r="B285" s="24"/>
      <c r="C285" s="24"/>
      <c r="D285" s="24"/>
      <c r="E285" s="24"/>
      <c r="F285" s="24"/>
      <c r="G285" s="24"/>
      <c r="H285" s="24"/>
      <c r="I285" s="24"/>
      <c r="J285" s="24"/>
      <c r="M285" s="48"/>
      <c r="N285" s="48"/>
      <c r="O285" s="48"/>
      <c r="P285" s="50"/>
    </row>
    <row r="286" ht="15.0" customHeight="1">
      <c r="B286" s="24"/>
      <c r="C286" s="24"/>
      <c r="D286" s="24"/>
      <c r="E286" s="24"/>
      <c r="F286" s="24"/>
      <c r="G286" s="24"/>
      <c r="H286" s="24"/>
      <c r="I286" s="24"/>
      <c r="J286" s="24"/>
      <c r="M286" s="48"/>
      <c r="N286" s="48"/>
      <c r="O286" s="48"/>
      <c r="P286" s="50"/>
    </row>
    <row r="287" ht="15.0" customHeight="1">
      <c r="B287" s="24"/>
      <c r="C287" s="24"/>
      <c r="D287" s="24"/>
      <c r="E287" s="24"/>
      <c r="F287" s="24"/>
      <c r="G287" s="24"/>
      <c r="H287" s="24"/>
      <c r="I287" s="24"/>
      <c r="J287" s="24"/>
      <c r="M287" s="48"/>
      <c r="N287" s="48"/>
      <c r="O287" s="48"/>
      <c r="P287" s="50"/>
    </row>
    <row r="288" ht="15.0" customHeight="1">
      <c r="B288" s="24"/>
      <c r="C288" s="24"/>
      <c r="D288" s="24"/>
      <c r="E288" s="24"/>
      <c r="F288" s="24"/>
      <c r="G288" s="24"/>
      <c r="H288" s="24"/>
      <c r="I288" s="24"/>
      <c r="J288" s="24"/>
      <c r="M288" s="48"/>
      <c r="N288" s="48"/>
      <c r="O288" s="48"/>
      <c r="P288" s="50"/>
    </row>
    <row r="289" ht="15.0" customHeight="1">
      <c r="B289" s="24"/>
      <c r="C289" s="24"/>
      <c r="D289" s="24"/>
      <c r="E289" s="24"/>
      <c r="F289" s="24"/>
      <c r="G289" s="24"/>
      <c r="H289" s="24"/>
      <c r="I289" s="24"/>
      <c r="J289" s="24"/>
      <c r="M289" s="48"/>
      <c r="N289" s="48"/>
      <c r="O289" s="48"/>
      <c r="P289" s="50"/>
    </row>
    <row r="290" ht="15.0" customHeight="1">
      <c r="B290" s="24"/>
      <c r="C290" s="24"/>
      <c r="D290" s="24"/>
      <c r="E290" s="24"/>
      <c r="F290" s="24"/>
      <c r="G290" s="24"/>
      <c r="H290" s="24"/>
      <c r="I290" s="24"/>
      <c r="J290" s="24"/>
      <c r="M290" s="48"/>
      <c r="N290" s="48"/>
      <c r="O290" s="48"/>
      <c r="P290" s="50"/>
    </row>
    <row r="291" ht="15.0" customHeight="1">
      <c r="B291" s="24"/>
      <c r="C291" s="24"/>
      <c r="D291" s="24"/>
      <c r="E291" s="24"/>
      <c r="F291" s="24"/>
      <c r="G291" s="24"/>
      <c r="H291" s="24"/>
      <c r="I291" s="24"/>
      <c r="J291" s="24"/>
      <c r="M291" s="48"/>
      <c r="N291" s="48"/>
      <c r="O291" s="48"/>
      <c r="P291" s="50"/>
    </row>
    <row r="292" ht="15.0" customHeight="1">
      <c r="B292" s="24"/>
      <c r="C292" s="24"/>
      <c r="D292" s="24"/>
      <c r="E292" s="24"/>
      <c r="F292" s="24"/>
      <c r="G292" s="24"/>
      <c r="H292" s="24"/>
      <c r="I292" s="24"/>
      <c r="J292" s="24"/>
      <c r="M292" s="48"/>
      <c r="N292" s="48"/>
      <c r="O292" s="48"/>
      <c r="P292" s="50"/>
    </row>
    <row r="293" ht="15.0" customHeight="1">
      <c r="B293" s="24"/>
      <c r="C293" s="24"/>
      <c r="D293" s="24"/>
      <c r="E293" s="24"/>
      <c r="F293" s="24"/>
      <c r="G293" s="24"/>
      <c r="H293" s="24"/>
      <c r="I293" s="24"/>
      <c r="J293" s="24"/>
      <c r="M293" s="48"/>
      <c r="N293" s="48"/>
      <c r="O293" s="48"/>
      <c r="P293" s="50"/>
    </row>
    <row r="294" ht="15.0" customHeight="1">
      <c r="B294" s="24"/>
      <c r="C294" s="24"/>
      <c r="D294" s="24"/>
      <c r="E294" s="24"/>
      <c r="F294" s="24"/>
      <c r="G294" s="24"/>
      <c r="H294" s="24"/>
      <c r="I294" s="24"/>
      <c r="J294" s="24"/>
      <c r="M294" s="48"/>
      <c r="N294" s="48"/>
      <c r="O294" s="48"/>
      <c r="P294" s="50"/>
    </row>
    <row r="295" ht="15.0" customHeight="1">
      <c r="B295" s="24"/>
      <c r="C295" s="24"/>
      <c r="D295" s="24"/>
      <c r="E295" s="24"/>
      <c r="F295" s="24"/>
      <c r="G295" s="24"/>
      <c r="H295" s="24"/>
      <c r="I295" s="24"/>
      <c r="J295" s="24"/>
      <c r="M295" s="48"/>
      <c r="N295" s="48"/>
      <c r="O295" s="48"/>
      <c r="P295" s="50"/>
    </row>
    <row r="296" ht="15.0" customHeight="1">
      <c r="B296" s="24"/>
      <c r="C296" s="24"/>
      <c r="D296" s="24"/>
      <c r="E296" s="24"/>
      <c r="F296" s="24"/>
      <c r="G296" s="24"/>
      <c r="H296" s="24"/>
      <c r="I296" s="24"/>
      <c r="J296" s="24"/>
      <c r="M296" s="48"/>
      <c r="N296" s="48"/>
      <c r="O296" s="48"/>
      <c r="P296" s="50"/>
    </row>
    <row r="297" ht="15.0" customHeight="1">
      <c r="B297" s="24"/>
      <c r="C297" s="24"/>
      <c r="D297" s="24"/>
      <c r="E297" s="24"/>
      <c r="F297" s="24"/>
      <c r="G297" s="24"/>
      <c r="H297" s="24"/>
      <c r="I297" s="24"/>
      <c r="J297" s="24"/>
      <c r="M297" s="48"/>
      <c r="N297" s="48"/>
      <c r="O297" s="48"/>
      <c r="P297" s="50"/>
    </row>
    <row r="298" ht="15.0" customHeight="1">
      <c r="B298" s="24"/>
      <c r="C298" s="24"/>
      <c r="D298" s="24"/>
      <c r="E298" s="24"/>
      <c r="F298" s="24"/>
      <c r="G298" s="24"/>
      <c r="H298" s="24"/>
      <c r="I298" s="24"/>
      <c r="J298" s="24"/>
      <c r="M298" s="48"/>
      <c r="N298" s="48"/>
      <c r="O298" s="48"/>
      <c r="P298" s="50"/>
    </row>
    <row r="299" ht="15.0" customHeight="1">
      <c r="B299" s="24"/>
      <c r="C299" s="24"/>
      <c r="D299" s="24"/>
      <c r="E299" s="24"/>
      <c r="F299" s="24"/>
      <c r="G299" s="24"/>
      <c r="H299" s="24"/>
      <c r="I299" s="24"/>
      <c r="J299" s="24"/>
      <c r="M299" s="48"/>
      <c r="N299" s="48"/>
      <c r="O299" s="48"/>
      <c r="P299" s="50"/>
    </row>
    <row r="300" ht="15.0" customHeight="1">
      <c r="B300" s="24"/>
      <c r="C300" s="24"/>
      <c r="D300" s="24"/>
      <c r="E300" s="24"/>
      <c r="F300" s="24"/>
      <c r="G300" s="24"/>
      <c r="H300" s="24"/>
      <c r="I300" s="24"/>
      <c r="J300" s="24"/>
      <c r="M300" s="48"/>
      <c r="N300" s="48"/>
      <c r="O300" s="48"/>
      <c r="P300" s="50"/>
    </row>
    <row r="301" ht="15.0" customHeight="1">
      <c r="B301" s="24"/>
      <c r="C301" s="24"/>
      <c r="D301" s="24"/>
      <c r="E301" s="24"/>
      <c r="F301" s="24"/>
      <c r="G301" s="24"/>
      <c r="H301" s="24"/>
      <c r="I301" s="24"/>
      <c r="J301" s="24"/>
      <c r="M301" s="48"/>
      <c r="N301" s="48"/>
      <c r="O301" s="48"/>
      <c r="P301" s="50"/>
    </row>
    <row r="302" ht="15.0" customHeight="1">
      <c r="B302" s="24"/>
      <c r="C302" s="24"/>
      <c r="D302" s="24"/>
      <c r="E302" s="24"/>
      <c r="F302" s="24"/>
      <c r="G302" s="24"/>
      <c r="H302" s="24"/>
      <c r="I302" s="24"/>
      <c r="J302" s="24"/>
      <c r="M302" s="48"/>
      <c r="N302" s="48"/>
      <c r="O302" s="48"/>
      <c r="P302" s="50"/>
    </row>
    <row r="303" ht="15.0" customHeight="1">
      <c r="B303" s="24"/>
      <c r="C303" s="24"/>
      <c r="D303" s="24"/>
      <c r="E303" s="24"/>
      <c r="F303" s="24"/>
      <c r="G303" s="24"/>
      <c r="H303" s="24"/>
      <c r="I303" s="24"/>
      <c r="J303" s="24"/>
      <c r="M303" s="48"/>
      <c r="N303" s="48"/>
      <c r="O303" s="48"/>
      <c r="P303" s="50"/>
    </row>
    <row r="304" ht="15.0" customHeight="1">
      <c r="B304" s="24"/>
      <c r="C304" s="24"/>
      <c r="D304" s="24"/>
      <c r="E304" s="24"/>
      <c r="F304" s="24"/>
      <c r="G304" s="24"/>
      <c r="H304" s="24"/>
      <c r="I304" s="24"/>
      <c r="J304" s="24"/>
      <c r="M304" s="48"/>
      <c r="N304" s="48"/>
      <c r="O304" s="48"/>
      <c r="P304" s="50"/>
    </row>
    <row r="305" ht="15.0" customHeight="1">
      <c r="B305" s="24"/>
      <c r="C305" s="24"/>
      <c r="D305" s="24"/>
      <c r="E305" s="24"/>
      <c r="F305" s="24"/>
      <c r="G305" s="24"/>
      <c r="H305" s="24"/>
      <c r="I305" s="24"/>
      <c r="J305" s="24"/>
      <c r="M305" s="48"/>
      <c r="N305" s="48"/>
      <c r="O305" s="48"/>
      <c r="P305" s="50"/>
    </row>
    <row r="306" ht="15.0" customHeight="1">
      <c r="B306" s="24"/>
      <c r="C306" s="24"/>
      <c r="D306" s="24"/>
      <c r="E306" s="24"/>
      <c r="F306" s="24"/>
      <c r="G306" s="24"/>
      <c r="H306" s="24"/>
      <c r="I306" s="24"/>
      <c r="J306" s="24"/>
      <c r="M306" s="48"/>
      <c r="N306" s="48"/>
      <c r="O306" s="48"/>
      <c r="P306" s="50"/>
    </row>
    <row r="307" ht="15.0" customHeight="1">
      <c r="B307" s="24"/>
      <c r="C307" s="24"/>
      <c r="D307" s="24"/>
      <c r="E307" s="24"/>
      <c r="F307" s="24"/>
      <c r="G307" s="24"/>
      <c r="H307" s="24"/>
      <c r="I307" s="24"/>
      <c r="J307" s="24"/>
      <c r="M307" s="48"/>
      <c r="N307" s="48"/>
      <c r="O307" s="48"/>
      <c r="P307" s="50"/>
    </row>
    <row r="308" ht="15.0" customHeight="1">
      <c r="B308" s="24"/>
      <c r="C308" s="24"/>
      <c r="D308" s="24"/>
      <c r="E308" s="24"/>
      <c r="F308" s="24"/>
      <c r="G308" s="24"/>
      <c r="H308" s="24"/>
      <c r="I308" s="24"/>
      <c r="J308" s="24"/>
      <c r="M308" s="48"/>
      <c r="N308" s="48"/>
      <c r="O308" s="48"/>
      <c r="P308" s="50"/>
    </row>
    <row r="309" ht="15.0" customHeight="1">
      <c r="B309" s="24"/>
      <c r="C309" s="24"/>
      <c r="D309" s="24"/>
      <c r="E309" s="24"/>
      <c r="F309" s="24"/>
      <c r="G309" s="24"/>
      <c r="H309" s="24"/>
      <c r="I309" s="24"/>
      <c r="J309" s="24"/>
      <c r="M309" s="48"/>
      <c r="N309" s="48"/>
      <c r="O309" s="48"/>
      <c r="P309" s="50"/>
    </row>
    <row r="310" ht="15.0" customHeight="1">
      <c r="B310" s="24"/>
      <c r="C310" s="24"/>
      <c r="D310" s="24"/>
      <c r="E310" s="24"/>
      <c r="F310" s="24"/>
      <c r="G310" s="24"/>
      <c r="H310" s="24"/>
      <c r="I310" s="24"/>
      <c r="J310" s="24"/>
      <c r="M310" s="48"/>
      <c r="N310" s="48"/>
      <c r="O310" s="48"/>
      <c r="P310" s="50"/>
    </row>
    <row r="311" ht="15.0" customHeight="1">
      <c r="B311" s="24"/>
      <c r="C311" s="24"/>
      <c r="D311" s="24"/>
      <c r="E311" s="24"/>
      <c r="F311" s="24"/>
      <c r="G311" s="24"/>
      <c r="H311" s="24"/>
      <c r="I311" s="24"/>
      <c r="J311" s="24"/>
      <c r="M311" s="48"/>
      <c r="N311" s="48"/>
      <c r="O311" s="48"/>
      <c r="P311" s="50"/>
    </row>
    <row r="312" ht="15.0" customHeight="1">
      <c r="B312" s="24"/>
      <c r="C312" s="24"/>
      <c r="D312" s="24"/>
      <c r="E312" s="24"/>
      <c r="F312" s="24"/>
      <c r="G312" s="24"/>
      <c r="H312" s="24"/>
      <c r="I312" s="24"/>
      <c r="J312" s="24"/>
      <c r="M312" s="48"/>
      <c r="N312" s="48"/>
      <c r="O312" s="48"/>
      <c r="P312" s="50"/>
    </row>
    <row r="313" ht="15.0" customHeight="1">
      <c r="B313" s="24"/>
      <c r="C313" s="24"/>
      <c r="D313" s="24"/>
      <c r="E313" s="24"/>
      <c r="F313" s="24"/>
      <c r="G313" s="24"/>
      <c r="H313" s="24"/>
      <c r="I313" s="24"/>
      <c r="J313" s="24"/>
      <c r="M313" s="48"/>
      <c r="N313" s="48"/>
      <c r="O313" s="48"/>
      <c r="P313" s="50"/>
    </row>
    <row r="314" ht="15.0" customHeight="1">
      <c r="B314" s="24"/>
      <c r="C314" s="24"/>
      <c r="D314" s="24"/>
      <c r="E314" s="24"/>
      <c r="F314" s="24"/>
      <c r="G314" s="24"/>
      <c r="H314" s="24"/>
      <c r="I314" s="24"/>
      <c r="J314" s="24"/>
      <c r="M314" s="48"/>
      <c r="N314" s="48"/>
      <c r="O314" s="48"/>
      <c r="P314" s="50"/>
    </row>
    <row r="315" ht="15.0" customHeight="1">
      <c r="B315" s="24"/>
      <c r="C315" s="24"/>
      <c r="D315" s="24"/>
      <c r="E315" s="24"/>
      <c r="F315" s="24"/>
      <c r="G315" s="24"/>
      <c r="H315" s="24"/>
      <c r="I315" s="24"/>
      <c r="J315" s="24"/>
      <c r="M315" s="48"/>
      <c r="N315" s="48"/>
      <c r="O315" s="48"/>
      <c r="P315" s="50"/>
    </row>
    <row r="316" ht="15.0" customHeight="1">
      <c r="B316" s="24"/>
      <c r="C316" s="24"/>
      <c r="D316" s="24"/>
      <c r="E316" s="24"/>
      <c r="F316" s="24"/>
      <c r="G316" s="24"/>
      <c r="H316" s="24"/>
      <c r="I316" s="24"/>
      <c r="J316" s="24"/>
      <c r="M316" s="48"/>
      <c r="N316" s="48"/>
      <c r="O316" s="48"/>
      <c r="P316" s="50"/>
    </row>
    <row r="317" ht="15.0" customHeight="1">
      <c r="B317" s="24"/>
      <c r="C317" s="24"/>
      <c r="D317" s="24"/>
      <c r="E317" s="24"/>
      <c r="F317" s="24"/>
      <c r="G317" s="24"/>
      <c r="H317" s="24"/>
      <c r="I317" s="24"/>
      <c r="J317" s="24"/>
      <c r="M317" s="48"/>
      <c r="N317" s="48"/>
      <c r="O317" s="48"/>
      <c r="P317" s="50"/>
    </row>
    <row r="318" ht="15.0" customHeight="1">
      <c r="B318" s="24"/>
      <c r="C318" s="24"/>
      <c r="D318" s="24"/>
      <c r="E318" s="24"/>
      <c r="F318" s="24"/>
      <c r="G318" s="24"/>
      <c r="H318" s="24"/>
      <c r="I318" s="24"/>
      <c r="J318" s="24"/>
      <c r="M318" s="48"/>
      <c r="N318" s="48"/>
      <c r="O318" s="48"/>
      <c r="P318" s="50"/>
    </row>
    <row r="319" ht="15.0" customHeight="1">
      <c r="B319" s="24"/>
      <c r="C319" s="24"/>
      <c r="D319" s="24"/>
      <c r="E319" s="24"/>
      <c r="F319" s="24"/>
      <c r="G319" s="24"/>
      <c r="H319" s="24"/>
      <c r="I319" s="24"/>
      <c r="J319" s="24"/>
      <c r="M319" s="48"/>
      <c r="N319" s="48"/>
      <c r="O319" s="48"/>
      <c r="P319" s="50"/>
    </row>
    <row r="320" ht="15.0" customHeight="1">
      <c r="B320" s="24"/>
      <c r="C320" s="24"/>
      <c r="D320" s="24"/>
      <c r="E320" s="24"/>
      <c r="F320" s="24"/>
      <c r="G320" s="24"/>
      <c r="H320" s="24"/>
      <c r="I320" s="24"/>
      <c r="J320" s="24"/>
      <c r="M320" s="48"/>
      <c r="N320" s="48"/>
      <c r="O320" s="48"/>
      <c r="P320" s="50"/>
    </row>
    <row r="321" ht="15.0" customHeight="1">
      <c r="B321" s="24"/>
      <c r="C321" s="24"/>
      <c r="D321" s="24"/>
      <c r="E321" s="24"/>
      <c r="F321" s="24"/>
      <c r="G321" s="24"/>
      <c r="H321" s="24"/>
      <c r="I321" s="24"/>
      <c r="J321" s="24"/>
      <c r="M321" s="48"/>
      <c r="N321" s="48"/>
      <c r="O321" s="48"/>
      <c r="P321" s="50"/>
    </row>
    <row r="322" ht="15.0" customHeight="1">
      <c r="B322" s="24"/>
      <c r="C322" s="24"/>
      <c r="D322" s="24"/>
      <c r="E322" s="24"/>
      <c r="F322" s="24"/>
      <c r="G322" s="24"/>
      <c r="H322" s="24"/>
      <c r="I322" s="24"/>
      <c r="J322" s="24"/>
      <c r="M322" s="48"/>
      <c r="N322" s="48"/>
      <c r="O322" s="48"/>
      <c r="P322" s="50"/>
    </row>
    <row r="323" ht="15.0" customHeight="1">
      <c r="B323" s="24"/>
      <c r="C323" s="24"/>
      <c r="D323" s="24"/>
      <c r="E323" s="24"/>
      <c r="F323" s="24"/>
      <c r="G323" s="24"/>
      <c r="H323" s="24"/>
      <c r="I323" s="24"/>
      <c r="J323" s="24"/>
      <c r="M323" s="48"/>
      <c r="N323" s="48"/>
      <c r="O323" s="48"/>
      <c r="P323" s="50"/>
    </row>
    <row r="324" ht="15.0" customHeight="1">
      <c r="B324" s="24"/>
      <c r="C324" s="24"/>
      <c r="D324" s="24"/>
      <c r="E324" s="24"/>
      <c r="F324" s="24"/>
      <c r="G324" s="24"/>
      <c r="H324" s="24"/>
      <c r="I324" s="24"/>
      <c r="J324" s="24"/>
      <c r="M324" s="48"/>
      <c r="N324" s="48"/>
      <c r="O324" s="48"/>
      <c r="P324" s="50"/>
    </row>
    <row r="325" ht="15.0" customHeight="1">
      <c r="B325" s="24"/>
      <c r="C325" s="24"/>
      <c r="D325" s="24"/>
      <c r="E325" s="24"/>
      <c r="F325" s="24"/>
      <c r="G325" s="24"/>
      <c r="H325" s="24"/>
      <c r="I325" s="24"/>
      <c r="J325" s="24"/>
      <c r="M325" s="48"/>
      <c r="N325" s="48"/>
      <c r="O325" s="48"/>
      <c r="P325" s="50"/>
    </row>
    <row r="326" ht="15.0" customHeight="1">
      <c r="B326" s="24"/>
      <c r="C326" s="24"/>
      <c r="D326" s="24"/>
      <c r="E326" s="24"/>
      <c r="F326" s="24"/>
      <c r="G326" s="24"/>
      <c r="H326" s="24"/>
      <c r="I326" s="24"/>
      <c r="J326" s="24"/>
      <c r="M326" s="48"/>
      <c r="N326" s="48"/>
      <c r="O326" s="48"/>
      <c r="P326" s="50"/>
    </row>
    <row r="327" ht="15.0" customHeight="1">
      <c r="B327" s="24"/>
      <c r="C327" s="24"/>
      <c r="D327" s="24"/>
      <c r="E327" s="24"/>
      <c r="F327" s="24"/>
      <c r="G327" s="24"/>
      <c r="H327" s="24"/>
      <c r="I327" s="24"/>
      <c r="J327" s="24"/>
      <c r="M327" s="48"/>
      <c r="N327" s="48"/>
      <c r="O327" s="48"/>
      <c r="P327" s="50"/>
    </row>
    <row r="328" ht="15.0" customHeight="1">
      <c r="B328" s="24"/>
      <c r="C328" s="24"/>
      <c r="D328" s="24"/>
      <c r="E328" s="24"/>
      <c r="F328" s="24"/>
      <c r="G328" s="24"/>
      <c r="H328" s="24"/>
      <c r="I328" s="24"/>
      <c r="J328" s="24"/>
      <c r="M328" s="48"/>
      <c r="N328" s="48"/>
      <c r="O328" s="48"/>
      <c r="P328" s="50"/>
    </row>
    <row r="329" ht="15.0" customHeight="1">
      <c r="B329" s="24"/>
      <c r="C329" s="24"/>
      <c r="D329" s="24"/>
      <c r="E329" s="24"/>
      <c r="F329" s="24"/>
      <c r="G329" s="24"/>
      <c r="H329" s="24"/>
      <c r="I329" s="24"/>
      <c r="J329" s="24"/>
      <c r="M329" s="48"/>
      <c r="N329" s="48"/>
      <c r="O329" s="48"/>
      <c r="P329" s="50"/>
    </row>
    <row r="330" ht="15.0" customHeight="1">
      <c r="B330" s="24"/>
      <c r="C330" s="24"/>
      <c r="D330" s="24"/>
      <c r="E330" s="24"/>
      <c r="F330" s="24"/>
      <c r="G330" s="24"/>
      <c r="H330" s="24"/>
      <c r="I330" s="24"/>
      <c r="J330" s="24"/>
      <c r="M330" s="48"/>
      <c r="N330" s="48"/>
      <c r="O330" s="48"/>
      <c r="P330" s="50"/>
    </row>
    <row r="331" ht="15.0" customHeight="1">
      <c r="B331" s="24"/>
      <c r="C331" s="24"/>
      <c r="D331" s="24"/>
      <c r="E331" s="24"/>
      <c r="F331" s="24"/>
      <c r="G331" s="24"/>
      <c r="H331" s="24"/>
      <c r="I331" s="24"/>
      <c r="J331" s="24"/>
      <c r="M331" s="48"/>
      <c r="N331" s="48"/>
      <c r="O331" s="48"/>
      <c r="P331" s="50"/>
    </row>
    <row r="332" ht="15.0" customHeight="1">
      <c r="B332" s="24"/>
      <c r="C332" s="24"/>
      <c r="D332" s="24"/>
      <c r="E332" s="24"/>
      <c r="F332" s="24"/>
      <c r="G332" s="24"/>
      <c r="H332" s="24"/>
      <c r="I332" s="24"/>
      <c r="J332" s="24"/>
      <c r="M332" s="48"/>
      <c r="N332" s="48"/>
      <c r="O332" s="48"/>
      <c r="P332" s="50"/>
    </row>
    <row r="333" ht="15.0" customHeight="1">
      <c r="B333" s="24"/>
      <c r="C333" s="24"/>
      <c r="D333" s="24"/>
      <c r="E333" s="24"/>
      <c r="F333" s="24"/>
      <c r="G333" s="24"/>
      <c r="H333" s="24"/>
      <c r="I333" s="24"/>
      <c r="J333" s="24"/>
      <c r="M333" s="48"/>
      <c r="N333" s="48"/>
      <c r="O333" s="48"/>
      <c r="P333" s="50"/>
    </row>
    <row r="334" ht="15.0" customHeight="1">
      <c r="B334" s="24"/>
      <c r="C334" s="24"/>
      <c r="D334" s="24"/>
      <c r="E334" s="24"/>
      <c r="F334" s="24"/>
      <c r="G334" s="24"/>
      <c r="H334" s="24"/>
      <c r="I334" s="24"/>
      <c r="J334" s="24"/>
      <c r="M334" s="48"/>
      <c r="N334" s="48"/>
      <c r="O334" s="48"/>
      <c r="P334" s="50"/>
    </row>
    <row r="335" ht="15.0" customHeight="1">
      <c r="B335" s="24"/>
      <c r="C335" s="24"/>
      <c r="D335" s="24"/>
      <c r="E335" s="24"/>
      <c r="F335" s="24"/>
      <c r="G335" s="24"/>
      <c r="H335" s="24"/>
      <c r="I335" s="24"/>
      <c r="J335" s="24"/>
      <c r="M335" s="48"/>
      <c r="N335" s="48"/>
      <c r="O335" s="48"/>
      <c r="P335" s="50"/>
    </row>
    <row r="336" ht="15.0" customHeight="1">
      <c r="B336" s="24"/>
      <c r="C336" s="24"/>
      <c r="D336" s="24"/>
      <c r="E336" s="24"/>
      <c r="F336" s="24"/>
      <c r="G336" s="24"/>
      <c r="H336" s="24"/>
      <c r="I336" s="24"/>
      <c r="J336" s="24"/>
      <c r="M336" s="48"/>
      <c r="N336" s="48"/>
      <c r="O336" s="48"/>
      <c r="P336" s="50"/>
    </row>
    <row r="337" ht="15.0" customHeight="1">
      <c r="B337" s="24"/>
      <c r="C337" s="24"/>
      <c r="D337" s="24"/>
      <c r="E337" s="24"/>
      <c r="F337" s="24"/>
      <c r="G337" s="24"/>
      <c r="H337" s="24"/>
      <c r="I337" s="24"/>
      <c r="J337" s="24"/>
      <c r="M337" s="48"/>
      <c r="N337" s="48"/>
      <c r="O337" s="48"/>
      <c r="P337" s="50"/>
    </row>
    <row r="338" ht="15.0" customHeight="1">
      <c r="B338" s="24"/>
      <c r="C338" s="24"/>
      <c r="D338" s="24"/>
      <c r="E338" s="24"/>
      <c r="F338" s="24"/>
      <c r="G338" s="24"/>
      <c r="H338" s="24"/>
      <c r="I338" s="24"/>
      <c r="J338" s="24"/>
      <c r="M338" s="48"/>
      <c r="N338" s="48"/>
      <c r="O338" s="48"/>
      <c r="P338" s="50"/>
    </row>
    <row r="339" ht="15.0" customHeight="1">
      <c r="B339" s="24"/>
      <c r="C339" s="24"/>
      <c r="D339" s="24"/>
      <c r="E339" s="24"/>
      <c r="F339" s="24"/>
      <c r="G339" s="24"/>
      <c r="H339" s="24"/>
      <c r="I339" s="24"/>
      <c r="J339" s="24"/>
      <c r="M339" s="48"/>
      <c r="N339" s="48"/>
      <c r="O339" s="48"/>
      <c r="P339" s="50"/>
    </row>
    <row r="340" ht="15.0" customHeight="1">
      <c r="B340" s="24"/>
      <c r="C340" s="24"/>
      <c r="D340" s="24"/>
      <c r="E340" s="24"/>
      <c r="F340" s="24"/>
      <c r="G340" s="24"/>
      <c r="H340" s="24"/>
      <c r="I340" s="24"/>
      <c r="J340" s="24"/>
      <c r="M340" s="48"/>
      <c r="N340" s="48"/>
      <c r="O340" s="48"/>
      <c r="P340" s="50"/>
    </row>
    <row r="341" ht="15.0" customHeight="1">
      <c r="B341" s="24"/>
      <c r="C341" s="24"/>
      <c r="D341" s="24"/>
      <c r="E341" s="24"/>
      <c r="F341" s="24"/>
      <c r="G341" s="24"/>
      <c r="H341" s="24"/>
      <c r="I341" s="24"/>
      <c r="J341" s="24"/>
      <c r="M341" s="48"/>
      <c r="N341" s="48"/>
      <c r="O341" s="48"/>
      <c r="P341" s="50"/>
    </row>
    <row r="342" ht="15.0" customHeight="1">
      <c r="B342" s="24"/>
      <c r="C342" s="24"/>
      <c r="D342" s="24"/>
      <c r="E342" s="24"/>
      <c r="F342" s="24"/>
      <c r="G342" s="24"/>
      <c r="H342" s="24"/>
      <c r="I342" s="24"/>
      <c r="J342" s="24"/>
      <c r="M342" s="48"/>
      <c r="N342" s="48"/>
      <c r="O342" s="48"/>
      <c r="P342" s="50"/>
    </row>
    <row r="343" ht="15.0" customHeight="1">
      <c r="B343" s="24"/>
      <c r="C343" s="24"/>
      <c r="D343" s="24"/>
      <c r="E343" s="24"/>
      <c r="F343" s="24"/>
      <c r="G343" s="24"/>
      <c r="H343" s="24"/>
      <c r="I343" s="24"/>
      <c r="J343" s="24"/>
      <c r="M343" s="48"/>
      <c r="N343" s="48"/>
      <c r="O343" s="48"/>
      <c r="P343" s="50"/>
    </row>
    <row r="344" ht="15.0" customHeight="1">
      <c r="B344" s="24"/>
      <c r="C344" s="24"/>
      <c r="D344" s="24"/>
      <c r="E344" s="24"/>
      <c r="F344" s="24"/>
      <c r="G344" s="24"/>
      <c r="H344" s="24"/>
      <c r="I344" s="24"/>
      <c r="J344" s="24"/>
      <c r="M344" s="48"/>
      <c r="N344" s="48"/>
      <c r="O344" s="48"/>
      <c r="P344" s="50"/>
    </row>
    <row r="345" ht="15.0" customHeight="1">
      <c r="B345" s="24"/>
      <c r="C345" s="24"/>
      <c r="D345" s="24"/>
      <c r="E345" s="24"/>
      <c r="F345" s="24"/>
      <c r="G345" s="24"/>
      <c r="H345" s="24"/>
      <c r="I345" s="24"/>
      <c r="J345" s="24"/>
      <c r="M345" s="48"/>
      <c r="N345" s="48"/>
      <c r="O345" s="48"/>
      <c r="P345" s="50"/>
    </row>
    <row r="346" ht="15.0" customHeight="1">
      <c r="B346" s="24"/>
      <c r="C346" s="24"/>
      <c r="D346" s="24"/>
      <c r="E346" s="24"/>
      <c r="F346" s="24"/>
      <c r="G346" s="24"/>
      <c r="H346" s="24"/>
      <c r="I346" s="24"/>
      <c r="J346" s="24"/>
      <c r="M346" s="48"/>
      <c r="N346" s="48"/>
      <c r="O346" s="48"/>
      <c r="P346" s="50"/>
    </row>
    <row r="347" ht="15.0" customHeight="1">
      <c r="B347" s="24"/>
      <c r="C347" s="24"/>
      <c r="D347" s="24"/>
      <c r="E347" s="24"/>
      <c r="F347" s="24"/>
      <c r="G347" s="24"/>
      <c r="H347" s="24"/>
      <c r="I347" s="24"/>
      <c r="J347" s="24"/>
      <c r="M347" s="48"/>
      <c r="N347" s="48"/>
      <c r="O347" s="48"/>
      <c r="P347" s="50"/>
    </row>
    <row r="348" ht="15.0" customHeight="1">
      <c r="B348" s="24"/>
      <c r="C348" s="24"/>
      <c r="D348" s="24"/>
      <c r="E348" s="24"/>
      <c r="F348" s="24"/>
      <c r="G348" s="24"/>
      <c r="H348" s="24"/>
      <c r="I348" s="24"/>
      <c r="J348" s="24"/>
      <c r="M348" s="48"/>
      <c r="N348" s="48"/>
      <c r="O348" s="48"/>
      <c r="P348" s="50"/>
    </row>
    <row r="349" ht="15.0" customHeight="1">
      <c r="B349" s="24"/>
      <c r="C349" s="24"/>
      <c r="D349" s="24"/>
      <c r="E349" s="24"/>
      <c r="F349" s="24"/>
      <c r="G349" s="24"/>
      <c r="H349" s="24"/>
      <c r="I349" s="24"/>
      <c r="J349" s="24"/>
      <c r="M349" s="48"/>
      <c r="N349" s="48"/>
      <c r="O349" s="48"/>
      <c r="P349" s="50"/>
    </row>
    <row r="350" ht="15.0" customHeight="1">
      <c r="B350" s="24"/>
      <c r="C350" s="24"/>
      <c r="D350" s="24"/>
      <c r="E350" s="24"/>
      <c r="F350" s="24"/>
      <c r="G350" s="24"/>
      <c r="H350" s="24"/>
      <c r="I350" s="24"/>
      <c r="J350" s="24"/>
      <c r="M350" s="48"/>
      <c r="N350" s="48"/>
      <c r="O350" s="48"/>
      <c r="P350" s="50"/>
    </row>
    <row r="351" ht="15.0" customHeight="1">
      <c r="B351" s="24"/>
      <c r="C351" s="24"/>
      <c r="D351" s="24"/>
      <c r="E351" s="24"/>
      <c r="F351" s="24"/>
      <c r="G351" s="24"/>
      <c r="H351" s="24"/>
      <c r="I351" s="24"/>
      <c r="J351" s="24"/>
      <c r="M351" s="48"/>
      <c r="N351" s="48"/>
      <c r="O351" s="48"/>
      <c r="P351" s="50"/>
    </row>
    <row r="352" ht="15.0" customHeight="1">
      <c r="B352" s="24"/>
      <c r="C352" s="24"/>
      <c r="D352" s="24"/>
      <c r="E352" s="24"/>
      <c r="F352" s="24"/>
      <c r="G352" s="24"/>
      <c r="H352" s="24"/>
      <c r="I352" s="24"/>
      <c r="J352" s="24"/>
      <c r="M352" s="48"/>
      <c r="N352" s="48"/>
      <c r="O352" s="48"/>
      <c r="P352" s="50"/>
    </row>
    <row r="353" ht="15.0" customHeight="1">
      <c r="B353" s="24"/>
      <c r="C353" s="24"/>
      <c r="D353" s="24"/>
      <c r="E353" s="24"/>
      <c r="F353" s="24"/>
      <c r="G353" s="24"/>
      <c r="H353" s="24"/>
      <c r="I353" s="24"/>
      <c r="J353" s="24"/>
      <c r="M353" s="48"/>
      <c r="N353" s="48"/>
      <c r="O353" s="48"/>
      <c r="P353" s="50"/>
    </row>
    <row r="354" ht="15.0" customHeight="1">
      <c r="B354" s="24"/>
      <c r="C354" s="24"/>
      <c r="D354" s="24"/>
      <c r="E354" s="24"/>
      <c r="F354" s="24"/>
      <c r="G354" s="24"/>
      <c r="H354" s="24"/>
      <c r="I354" s="24"/>
      <c r="J354" s="24"/>
      <c r="M354" s="48"/>
      <c r="N354" s="48"/>
      <c r="O354" s="48"/>
      <c r="P354" s="50"/>
    </row>
    <row r="355" ht="15.0" customHeight="1">
      <c r="B355" s="24"/>
      <c r="C355" s="24"/>
      <c r="D355" s="24"/>
      <c r="E355" s="24"/>
      <c r="F355" s="24"/>
      <c r="G355" s="24"/>
      <c r="H355" s="24"/>
      <c r="I355" s="24"/>
      <c r="J355" s="24"/>
      <c r="M355" s="48"/>
      <c r="N355" s="48"/>
      <c r="O355" s="48"/>
      <c r="P355" s="50"/>
    </row>
    <row r="356" ht="15.0" customHeight="1">
      <c r="B356" s="24"/>
      <c r="C356" s="24"/>
      <c r="D356" s="24"/>
      <c r="E356" s="24"/>
      <c r="F356" s="24"/>
      <c r="G356" s="24"/>
      <c r="H356" s="24"/>
      <c r="I356" s="24"/>
      <c r="J356" s="24"/>
      <c r="M356" s="48"/>
      <c r="N356" s="48"/>
      <c r="O356" s="48"/>
      <c r="P356" s="50"/>
    </row>
    <row r="357" ht="15.0" customHeight="1">
      <c r="B357" s="24"/>
      <c r="C357" s="24"/>
      <c r="D357" s="24"/>
      <c r="E357" s="24"/>
      <c r="F357" s="24"/>
      <c r="G357" s="24"/>
      <c r="H357" s="24"/>
      <c r="I357" s="24"/>
      <c r="J357" s="24"/>
      <c r="M357" s="48"/>
      <c r="N357" s="48"/>
      <c r="O357" s="48"/>
      <c r="P357" s="50"/>
    </row>
    <row r="358" ht="15.0" customHeight="1">
      <c r="B358" s="24"/>
      <c r="C358" s="24"/>
      <c r="D358" s="24"/>
      <c r="E358" s="24"/>
      <c r="F358" s="24"/>
      <c r="G358" s="24"/>
      <c r="H358" s="24"/>
      <c r="I358" s="24"/>
      <c r="J358" s="24"/>
      <c r="M358" s="48"/>
      <c r="N358" s="48"/>
      <c r="O358" s="48"/>
      <c r="P358" s="50"/>
    </row>
    <row r="359" ht="15.0" customHeight="1">
      <c r="B359" s="24"/>
      <c r="C359" s="24"/>
      <c r="D359" s="24"/>
      <c r="E359" s="24"/>
      <c r="F359" s="24"/>
      <c r="G359" s="24"/>
      <c r="H359" s="24"/>
      <c r="I359" s="24"/>
      <c r="J359" s="24"/>
      <c r="M359" s="48"/>
      <c r="N359" s="48"/>
      <c r="O359" s="48"/>
      <c r="P359" s="50"/>
    </row>
    <row r="360" ht="15.0" customHeight="1">
      <c r="B360" s="24"/>
      <c r="C360" s="24"/>
      <c r="D360" s="24"/>
      <c r="E360" s="24"/>
      <c r="F360" s="24"/>
      <c r="G360" s="24"/>
      <c r="H360" s="24"/>
      <c r="I360" s="24"/>
      <c r="J360" s="24"/>
      <c r="M360" s="48"/>
      <c r="N360" s="48"/>
      <c r="O360" s="48"/>
      <c r="P360" s="50"/>
    </row>
    <row r="361" ht="15.0" customHeight="1">
      <c r="B361" s="24"/>
      <c r="C361" s="24"/>
      <c r="D361" s="24"/>
      <c r="E361" s="24"/>
      <c r="F361" s="24"/>
      <c r="G361" s="24"/>
      <c r="H361" s="24"/>
      <c r="I361" s="24"/>
      <c r="J361" s="24"/>
      <c r="M361" s="48"/>
      <c r="N361" s="48"/>
      <c r="O361" s="48"/>
      <c r="P361" s="50"/>
    </row>
    <row r="362" ht="15.0" customHeight="1">
      <c r="B362" s="24"/>
      <c r="C362" s="24"/>
      <c r="D362" s="24"/>
      <c r="E362" s="24"/>
      <c r="F362" s="24"/>
      <c r="G362" s="24"/>
      <c r="H362" s="24"/>
      <c r="I362" s="24"/>
      <c r="J362" s="24"/>
      <c r="M362" s="48"/>
      <c r="N362" s="48"/>
      <c r="O362" s="48"/>
      <c r="P362" s="50"/>
    </row>
    <row r="363" ht="15.0" customHeight="1">
      <c r="B363" s="24"/>
      <c r="C363" s="24"/>
      <c r="D363" s="24"/>
      <c r="E363" s="24"/>
      <c r="F363" s="24"/>
      <c r="G363" s="24"/>
      <c r="H363" s="24"/>
      <c r="I363" s="24"/>
      <c r="J363" s="24"/>
      <c r="M363" s="48"/>
      <c r="N363" s="48"/>
      <c r="O363" s="48"/>
      <c r="P363" s="50"/>
    </row>
    <row r="364" ht="15.0" customHeight="1">
      <c r="B364" s="24"/>
      <c r="C364" s="24"/>
      <c r="D364" s="24"/>
      <c r="E364" s="24"/>
      <c r="F364" s="24"/>
      <c r="G364" s="24"/>
      <c r="H364" s="24"/>
      <c r="I364" s="24"/>
      <c r="J364" s="24"/>
      <c r="M364" s="48"/>
      <c r="N364" s="48"/>
      <c r="O364" s="48"/>
      <c r="P364" s="50"/>
    </row>
    <row r="365" ht="15.0" customHeight="1">
      <c r="B365" s="24"/>
      <c r="C365" s="24"/>
      <c r="D365" s="24"/>
      <c r="E365" s="24"/>
      <c r="F365" s="24"/>
      <c r="G365" s="24"/>
      <c r="H365" s="24"/>
      <c r="I365" s="24"/>
      <c r="J365" s="24"/>
      <c r="M365" s="48"/>
      <c r="N365" s="48"/>
      <c r="O365" s="48"/>
      <c r="P365" s="50"/>
    </row>
    <row r="366" ht="15.0" customHeight="1">
      <c r="B366" s="24"/>
      <c r="C366" s="24"/>
      <c r="D366" s="24"/>
      <c r="E366" s="24"/>
      <c r="F366" s="24"/>
      <c r="G366" s="24"/>
      <c r="H366" s="24"/>
      <c r="I366" s="24"/>
      <c r="J366" s="24"/>
      <c r="M366" s="48"/>
      <c r="N366" s="48"/>
      <c r="O366" s="48"/>
      <c r="P366" s="50"/>
    </row>
    <row r="367" ht="15.0" customHeight="1">
      <c r="B367" s="24"/>
      <c r="C367" s="24"/>
      <c r="D367" s="24"/>
      <c r="E367" s="24"/>
      <c r="F367" s="24"/>
      <c r="G367" s="24"/>
      <c r="H367" s="24"/>
      <c r="I367" s="24"/>
      <c r="J367" s="24"/>
      <c r="M367" s="48"/>
      <c r="N367" s="48"/>
      <c r="O367" s="48"/>
      <c r="P367" s="50"/>
    </row>
    <row r="368" ht="15.0" customHeight="1">
      <c r="B368" s="24"/>
      <c r="C368" s="24"/>
      <c r="D368" s="24"/>
      <c r="E368" s="24"/>
      <c r="F368" s="24"/>
      <c r="G368" s="24"/>
      <c r="H368" s="24"/>
      <c r="I368" s="24"/>
      <c r="J368" s="24"/>
      <c r="M368" s="48"/>
      <c r="N368" s="48"/>
      <c r="O368" s="48"/>
      <c r="P368" s="50"/>
    </row>
    <row r="369" ht="15.0" customHeight="1">
      <c r="B369" s="24"/>
      <c r="C369" s="24"/>
      <c r="D369" s="24"/>
      <c r="E369" s="24"/>
      <c r="F369" s="24"/>
      <c r="G369" s="24"/>
      <c r="H369" s="24"/>
      <c r="I369" s="24"/>
      <c r="J369" s="24"/>
      <c r="M369" s="48"/>
      <c r="N369" s="48"/>
      <c r="O369" s="48"/>
      <c r="P369" s="50"/>
    </row>
    <row r="370" ht="15.0" customHeight="1">
      <c r="B370" s="24"/>
      <c r="C370" s="24"/>
      <c r="D370" s="24"/>
      <c r="E370" s="24"/>
      <c r="F370" s="24"/>
      <c r="G370" s="24"/>
      <c r="H370" s="24"/>
      <c r="I370" s="24"/>
      <c r="J370" s="24"/>
      <c r="M370" s="48"/>
      <c r="N370" s="48"/>
      <c r="O370" s="48"/>
      <c r="P370" s="50"/>
    </row>
    <row r="371" ht="15.0" customHeight="1">
      <c r="B371" s="24"/>
      <c r="C371" s="24"/>
      <c r="D371" s="24"/>
      <c r="E371" s="24"/>
      <c r="F371" s="24"/>
      <c r="G371" s="24"/>
      <c r="H371" s="24"/>
      <c r="I371" s="24"/>
      <c r="J371" s="24"/>
      <c r="M371" s="48"/>
      <c r="N371" s="48"/>
      <c r="O371" s="48"/>
      <c r="P371" s="50"/>
    </row>
    <row r="372" ht="15.0" customHeight="1">
      <c r="B372" s="24"/>
      <c r="C372" s="24"/>
      <c r="D372" s="24"/>
      <c r="E372" s="24"/>
      <c r="F372" s="24"/>
      <c r="G372" s="24"/>
      <c r="H372" s="24"/>
      <c r="I372" s="24"/>
      <c r="J372" s="24"/>
      <c r="M372" s="48"/>
      <c r="N372" s="48"/>
      <c r="O372" s="48"/>
      <c r="P372" s="50"/>
    </row>
    <row r="373" ht="15.0" customHeight="1">
      <c r="B373" s="24"/>
      <c r="C373" s="24"/>
      <c r="D373" s="24"/>
      <c r="E373" s="24"/>
      <c r="F373" s="24"/>
      <c r="G373" s="24"/>
      <c r="H373" s="24"/>
      <c r="I373" s="24"/>
      <c r="J373" s="24"/>
      <c r="M373" s="48"/>
      <c r="N373" s="48"/>
      <c r="O373" s="48"/>
      <c r="P373" s="50"/>
    </row>
    <row r="374" ht="15.0" customHeight="1">
      <c r="B374" s="24"/>
      <c r="C374" s="24"/>
      <c r="D374" s="24"/>
      <c r="E374" s="24"/>
      <c r="F374" s="24"/>
      <c r="G374" s="24"/>
      <c r="H374" s="24"/>
      <c r="I374" s="24"/>
      <c r="J374" s="24"/>
      <c r="M374" s="48"/>
      <c r="N374" s="48"/>
      <c r="O374" s="48"/>
      <c r="P374" s="50"/>
    </row>
    <row r="375" ht="15.0" customHeight="1">
      <c r="B375" s="24"/>
      <c r="C375" s="24"/>
      <c r="D375" s="24"/>
      <c r="E375" s="24"/>
      <c r="F375" s="24"/>
      <c r="G375" s="24"/>
      <c r="H375" s="24"/>
      <c r="I375" s="24"/>
      <c r="J375" s="24"/>
      <c r="M375" s="48"/>
      <c r="N375" s="48"/>
      <c r="O375" s="48"/>
      <c r="P375" s="50"/>
    </row>
    <row r="376" ht="15.0" customHeight="1">
      <c r="B376" s="24"/>
      <c r="C376" s="24"/>
      <c r="D376" s="24"/>
      <c r="E376" s="24"/>
      <c r="F376" s="24"/>
      <c r="G376" s="24"/>
      <c r="H376" s="24"/>
      <c r="I376" s="24"/>
      <c r="J376" s="24"/>
      <c r="M376" s="48"/>
      <c r="N376" s="48"/>
      <c r="O376" s="48"/>
      <c r="P376" s="50"/>
    </row>
    <row r="377" ht="15.0" customHeight="1">
      <c r="B377" s="24"/>
      <c r="C377" s="24"/>
      <c r="D377" s="24"/>
      <c r="E377" s="24"/>
      <c r="F377" s="24"/>
      <c r="G377" s="24"/>
      <c r="H377" s="24"/>
      <c r="I377" s="24"/>
      <c r="J377" s="24"/>
      <c r="M377" s="48"/>
      <c r="N377" s="48"/>
      <c r="O377" s="48"/>
      <c r="P377" s="50"/>
    </row>
    <row r="378" ht="15.0" customHeight="1">
      <c r="B378" s="24"/>
      <c r="C378" s="24"/>
      <c r="D378" s="24"/>
      <c r="E378" s="24"/>
      <c r="F378" s="24"/>
      <c r="G378" s="24"/>
      <c r="H378" s="24"/>
      <c r="I378" s="24"/>
      <c r="J378" s="24"/>
      <c r="M378" s="48"/>
      <c r="N378" s="48"/>
      <c r="O378" s="48"/>
      <c r="P378" s="50"/>
    </row>
    <row r="379" ht="15.0" customHeight="1">
      <c r="B379" s="24"/>
      <c r="C379" s="24"/>
      <c r="D379" s="24"/>
      <c r="E379" s="24"/>
      <c r="F379" s="24"/>
      <c r="G379" s="24"/>
      <c r="H379" s="24"/>
      <c r="I379" s="24"/>
      <c r="J379" s="24"/>
      <c r="M379" s="48"/>
      <c r="N379" s="48"/>
      <c r="O379" s="48"/>
      <c r="P379" s="50"/>
    </row>
    <row r="380" ht="15.0" customHeight="1">
      <c r="B380" s="24"/>
      <c r="C380" s="24"/>
      <c r="D380" s="24"/>
      <c r="E380" s="24"/>
      <c r="F380" s="24"/>
      <c r="G380" s="24"/>
      <c r="H380" s="24"/>
      <c r="I380" s="24"/>
      <c r="J380" s="24"/>
      <c r="M380" s="48"/>
      <c r="N380" s="48"/>
      <c r="O380" s="48"/>
      <c r="P380" s="50"/>
    </row>
    <row r="381" ht="15.0" customHeight="1">
      <c r="B381" s="24"/>
      <c r="C381" s="24"/>
      <c r="D381" s="24"/>
      <c r="E381" s="24"/>
      <c r="F381" s="24"/>
      <c r="G381" s="24"/>
      <c r="H381" s="24"/>
      <c r="I381" s="24"/>
      <c r="J381" s="24"/>
      <c r="M381" s="48"/>
      <c r="N381" s="48"/>
      <c r="O381" s="48"/>
      <c r="P381" s="50"/>
    </row>
    <row r="382" ht="15.0" customHeight="1">
      <c r="B382" s="24"/>
      <c r="C382" s="24"/>
      <c r="D382" s="24"/>
      <c r="E382" s="24"/>
      <c r="F382" s="24"/>
      <c r="G382" s="24"/>
      <c r="H382" s="24"/>
      <c r="I382" s="24"/>
      <c r="J382" s="24"/>
      <c r="M382" s="48"/>
      <c r="N382" s="48"/>
      <c r="O382" s="48"/>
      <c r="P382" s="50"/>
    </row>
    <row r="383" ht="15.0" customHeight="1">
      <c r="B383" s="24"/>
      <c r="C383" s="24"/>
      <c r="D383" s="24"/>
      <c r="E383" s="24"/>
      <c r="F383" s="24"/>
      <c r="G383" s="24"/>
      <c r="H383" s="24"/>
      <c r="I383" s="24"/>
      <c r="J383" s="24"/>
      <c r="M383" s="48"/>
      <c r="N383" s="48"/>
      <c r="O383" s="48"/>
      <c r="P383" s="50"/>
    </row>
    <row r="384" ht="15.0" customHeight="1">
      <c r="B384" s="24"/>
      <c r="C384" s="24"/>
      <c r="D384" s="24"/>
      <c r="E384" s="24"/>
      <c r="F384" s="24"/>
      <c r="G384" s="24"/>
      <c r="H384" s="24"/>
      <c r="I384" s="24"/>
      <c r="J384" s="24"/>
      <c r="M384" s="48"/>
      <c r="N384" s="48"/>
      <c r="O384" s="48"/>
      <c r="P384" s="50"/>
    </row>
    <row r="385" ht="15.0" customHeight="1">
      <c r="B385" s="24"/>
      <c r="C385" s="24"/>
      <c r="D385" s="24"/>
      <c r="E385" s="24"/>
      <c r="F385" s="24"/>
      <c r="G385" s="24"/>
      <c r="H385" s="24"/>
      <c r="I385" s="24"/>
      <c r="J385" s="24"/>
      <c r="M385" s="48"/>
      <c r="N385" s="48"/>
      <c r="O385" s="48"/>
      <c r="P385" s="50"/>
    </row>
    <row r="386" ht="15.0" customHeight="1">
      <c r="B386" s="24"/>
      <c r="C386" s="24"/>
      <c r="D386" s="24"/>
      <c r="E386" s="24"/>
      <c r="F386" s="24"/>
      <c r="G386" s="24"/>
      <c r="H386" s="24"/>
      <c r="I386" s="24"/>
      <c r="J386" s="24"/>
      <c r="M386" s="48"/>
      <c r="N386" s="48"/>
      <c r="O386" s="48"/>
      <c r="P386" s="50"/>
    </row>
    <row r="387" ht="15.0" customHeight="1">
      <c r="B387" s="24"/>
      <c r="C387" s="24"/>
      <c r="D387" s="24"/>
      <c r="E387" s="24"/>
      <c r="F387" s="24"/>
      <c r="G387" s="24"/>
      <c r="H387" s="24"/>
      <c r="I387" s="24"/>
      <c r="J387" s="24"/>
      <c r="M387" s="48"/>
      <c r="N387" s="48"/>
      <c r="O387" s="48"/>
      <c r="P387" s="50"/>
    </row>
    <row r="388" ht="15.0" customHeight="1">
      <c r="B388" s="24"/>
      <c r="C388" s="24"/>
      <c r="D388" s="24"/>
      <c r="E388" s="24"/>
      <c r="F388" s="24"/>
      <c r="G388" s="24"/>
      <c r="H388" s="24"/>
      <c r="I388" s="24"/>
      <c r="J388" s="24"/>
      <c r="M388" s="48"/>
      <c r="N388" s="48"/>
      <c r="O388" s="48"/>
      <c r="P388" s="50"/>
    </row>
    <row r="389" ht="15.0" customHeight="1">
      <c r="B389" s="24"/>
      <c r="C389" s="24"/>
      <c r="D389" s="24"/>
      <c r="E389" s="24"/>
      <c r="F389" s="24"/>
      <c r="G389" s="24"/>
      <c r="H389" s="24"/>
      <c r="I389" s="24"/>
      <c r="J389" s="24"/>
      <c r="M389" s="48"/>
      <c r="N389" s="48"/>
      <c r="O389" s="48"/>
      <c r="P389" s="50"/>
    </row>
    <row r="390" ht="15.0" customHeight="1">
      <c r="B390" s="24"/>
      <c r="C390" s="24"/>
      <c r="D390" s="24"/>
      <c r="E390" s="24"/>
      <c r="F390" s="24"/>
      <c r="G390" s="24"/>
      <c r="H390" s="24"/>
      <c r="I390" s="24"/>
      <c r="J390" s="24"/>
      <c r="M390" s="48"/>
      <c r="N390" s="48"/>
      <c r="O390" s="48"/>
      <c r="P390" s="50"/>
    </row>
    <row r="391" ht="15.0" customHeight="1">
      <c r="B391" s="24"/>
      <c r="C391" s="24"/>
      <c r="D391" s="24"/>
      <c r="E391" s="24"/>
      <c r="F391" s="24"/>
      <c r="G391" s="24"/>
      <c r="H391" s="24"/>
      <c r="I391" s="24"/>
      <c r="J391" s="24"/>
      <c r="M391" s="48"/>
      <c r="N391" s="48"/>
      <c r="O391" s="48"/>
      <c r="P391" s="50"/>
    </row>
    <row r="392" ht="15.0" customHeight="1">
      <c r="B392" s="24"/>
      <c r="C392" s="24"/>
      <c r="D392" s="24"/>
      <c r="E392" s="24"/>
      <c r="F392" s="24"/>
      <c r="G392" s="24"/>
      <c r="H392" s="24"/>
      <c r="I392" s="24"/>
      <c r="J392" s="24"/>
      <c r="M392" s="48"/>
      <c r="N392" s="48"/>
      <c r="O392" s="48"/>
      <c r="P392" s="50"/>
    </row>
    <row r="393" ht="15.0" customHeight="1">
      <c r="B393" s="24"/>
      <c r="C393" s="24"/>
      <c r="D393" s="24"/>
      <c r="E393" s="24"/>
      <c r="F393" s="24"/>
      <c r="G393" s="24"/>
      <c r="H393" s="24"/>
      <c r="I393" s="24"/>
      <c r="J393" s="24"/>
      <c r="M393" s="48"/>
      <c r="N393" s="48"/>
      <c r="O393" s="48"/>
      <c r="P393" s="50"/>
    </row>
    <row r="394" ht="15.0" customHeight="1">
      <c r="B394" s="24"/>
      <c r="C394" s="24"/>
      <c r="D394" s="24"/>
      <c r="E394" s="24"/>
      <c r="F394" s="24"/>
      <c r="G394" s="24"/>
      <c r="H394" s="24"/>
      <c r="I394" s="24"/>
      <c r="J394" s="24"/>
      <c r="M394" s="48"/>
      <c r="N394" s="48"/>
      <c r="O394" s="48"/>
      <c r="P394" s="50"/>
    </row>
    <row r="395" ht="15.0" customHeight="1">
      <c r="B395" s="24"/>
      <c r="C395" s="24"/>
      <c r="D395" s="24"/>
      <c r="E395" s="24"/>
      <c r="F395" s="24"/>
      <c r="G395" s="24"/>
      <c r="H395" s="24"/>
      <c r="I395" s="24"/>
      <c r="J395" s="24"/>
      <c r="M395" s="48"/>
      <c r="N395" s="48"/>
      <c r="O395" s="48"/>
      <c r="P395" s="50"/>
    </row>
    <row r="396" ht="15.0" customHeight="1">
      <c r="B396" s="24"/>
      <c r="C396" s="24"/>
      <c r="D396" s="24"/>
      <c r="E396" s="24"/>
      <c r="F396" s="24"/>
      <c r="G396" s="24"/>
      <c r="H396" s="24"/>
      <c r="I396" s="24"/>
      <c r="J396" s="24"/>
      <c r="M396" s="48"/>
      <c r="N396" s="48"/>
      <c r="O396" s="48"/>
      <c r="P396" s="50"/>
    </row>
    <row r="397" ht="15.0" customHeight="1">
      <c r="B397" s="24"/>
      <c r="C397" s="24"/>
      <c r="D397" s="24"/>
      <c r="E397" s="24"/>
      <c r="F397" s="24"/>
      <c r="G397" s="24"/>
      <c r="H397" s="24"/>
      <c r="I397" s="24"/>
      <c r="J397" s="24"/>
      <c r="M397" s="48"/>
      <c r="N397" s="48"/>
      <c r="O397" s="48"/>
      <c r="P397" s="50"/>
    </row>
    <row r="398" ht="15.0" customHeight="1">
      <c r="B398" s="24"/>
      <c r="C398" s="24"/>
      <c r="D398" s="24"/>
      <c r="E398" s="24"/>
      <c r="F398" s="24"/>
      <c r="G398" s="24"/>
      <c r="H398" s="24"/>
      <c r="I398" s="24"/>
      <c r="J398" s="24"/>
      <c r="M398" s="48"/>
      <c r="N398" s="48"/>
      <c r="O398" s="48"/>
      <c r="P398" s="50"/>
    </row>
    <row r="399" ht="15.0" customHeight="1">
      <c r="B399" s="24"/>
      <c r="C399" s="24"/>
      <c r="D399" s="24"/>
      <c r="E399" s="24"/>
      <c r="F399" s="24"/>
      <c r="G399" s="24"/>
      <c r="H399" s="24"/>
      <c r="I399" s="24"/>
      <c r="J399" s="24"/>
      <c r="M399" s="48"/>
      <c r="N399" s="48"/>
      <c r="O399" s="48"/>
      <c r="P399" s="50"/>
    </row>
    <row r="400" ht="15.0" customHeight="1">
      <c r="B400" s="24"/>
      <c r="C400" s="24"/>
      <c r="D400" s="24"/>
      <c r="E400" s="24"/>
      <c r="F400" s="24"/>
      <c r="G400" s="24"/>
      <c r="H400" s="24"/>
      <c r="I400" s="24"/>
      <c r="J400" s="24"/>
      <c r="M400" s="48"/>
      <c r="N400" s="48"/>
      <c r="O400" s="48"/>
      <c r="P400" s="50"/>
    </row>
    <row r="401" ht="15.0" customHeight="1">
      <c r="B401" s="24"/>
      <c r="C401" s="24"/>
      <c r="D401" s="24"/>
      <c r="E401" s="24"/>
      <c r="F401" s="24"/>
      <c r="G401" s="24"/>
      <c r="H401" s="24"/>
      <c r="I401" s="24"/>
      <c r="J401" s="24"/>
      <c r="M401" s="48"/>
      <c r="N401" s="48"/>
      <c r="O401" s="48"/>
      <c r="P401" s="50"/>
    </row>
    <row r="402" ht="15.0" customHeight="1">
      <c r="B402" s="24"/>
      <c r="C402" s="24"/>
      <c r="D402" s="24"/>
      <c r="E402" s="24"/>
      <c r="F402" s="24"/>
      <c r="G402" s="24"/>
      <c r="H402" s="24"/>
      <c r="I402" s="24"/>
      <c r="J402" s="24"/>
      <c r="M402" s="48"/>
      <c r="N402" s="48"/>
      <c r="O402" s="48"/>
      <c r="P402" s="50"/>
    </row>
    <row r="403" ht="15.0" customHeight="1">
      <c r="B403" s="24"/>
      <c r="C403" s="24"/>
      <c r="D403" s="24"/>
      <c r="E403" s="24"/>
      <c r="F403" s="24"/>
      <c r="G403" s="24"/>
      <c r="H403" s="24"/>
      <c r="I403" s="24"/>
      <c r="J403" s="24"/>
      <c r="M403" s="48"/>
      <c r="N403" s="48"/>
      <c r="O403" s="48"/>
      <c r="P403" s="50"/>
    </row>
    <row r="404" ht="15.0" customHeight="1">
      <c r="B404" s="24"/>
      <c r="C404" s="24"/>
      <c r="D404" s="24"/>
      <c r="E404" s="24"/>
      <c r="F404" s="24"/>
      <c r="G404" s="24"/>
      <c r="H404" s="24"/>
      <c r="I404" s="24"/>
      <c r="J404" s="24"/>
      <c r="M404" s="48"/>
      <c r="N404" s="48"/>
      <c r="O404" s="48"/>
      <c r="P404" s="50"/>
    </row>
    <row r="405" ht="15.0" customHeight="1">
      <c r="B405" s="24"/>
      <c r="C405" s="24"/>
      <c r="D405" s="24"/>
      <c r="E405" s="24"/>
      <c r="F405" s="24"/>
      <c r="G405" s="24"/>
      <c r="H405" s="24"/>
      <c r="I405" s="24"/>
      <c r="J405" s="24"/>
      <c r="M405" s="48"/>
      <c r="N405" s="48"/>
      <c r="O405" s="48"/>
      <c r="P405" s="50"/>
    </row>
    <row r="406" ht="15.0" customHeight="1">
      <c r="B406" s="24"/>
      <c r="C406" s="24"/>
      <c r="D406" s="24"/>
      <c r="E406" s="24"/>
      <c r="F406" s="24"/>
      <c r="G406" s="24"/>
      <c r="H406" s="24"/>
      <c r="I406" s="24"/>
      <c r="J406" s="24"/>
      <c r="M406" s="48"/>
      <c r="N406" s="48"/>
      <c r="O406" s="48"/>
      <c r="P406" s="50"/>
    </row>
    <row r="407" ht="15.0" customHeight="1">
      <c r="B407" s="24"/>
      <c r="C407" s="24"/>
      <c r="D407" s="24"/>
      <c r="E407" s="24"/>
      <c r="F407" s="24"/>
      <c r="G407" s="24"/>
      <c r="H407" s="24"/>
      <c r="I407" s="24"/>
      <c r="J407" s="24"/>
      <c r="M407" s="48"/>
      <c r="N407" s="48"/>
      <c r="O407" s="48"/>
      <c r="P407" s="50"/>
    </row>
    <row r="408" ht="15.0" customHeight="1">
      <c r="B408" s="24"/>
      <c r="C408" s="24"/>
      <c r="D408" s="24"/>
      <c r="E408" s="24"/>
      <c r="F408" s="24"/>
      <c r="G408" s="24"/>
      <c r="H408" s="24"/>
      <c r="I408" s="24"/>
      <c r="J408" s="24"/>
      <c r="M408" s="48"/>
      <c r="N408" s="48"/>
      <c r="O408" s="48"/>
      <c r="P408" s="50"/>
    </row>
    <row r="409" ht="15.0" customHeight="1">
      <c r="B409" s="24"/>
      <c r="C409" s="24"/>
      <c r="D409" s="24"/>
      <c r="E409" s="24"/>
      <c r="F409" s="24"/>
      <c r="G409" s="24"/>
      <c r="H409" s="24"/>
      <c r="I409" s="24"/>
      <c r="J409" s="24"/>
      <c r="M409" s="48"/>
      <c r="N409" s="48"/>
      <c r="O409" s="48"/>
      <c r="P409" s="50"/>
    </row>
    <row r="410" ht="15.0" customHeight="1">
      <c r="B410" s="24"/>
      <c r="C410" s="24"/>
      <c r="D410" s="24"/>
      <c r="E410" s="24"/>
      <c r="F410" s="24"/>
      <c r="G410" s="24"/>
      <c r="H410" s="24"/>
      <c r="I410" s="24"/>
      <c r="J410" s="24"/>
      <c r="M410" s="48"/>
      <c r="N410" s="48"/>
      <c r="O410" s="48"/>
      <c r="P410" s="50"/>
    </row>
    <row r="411" ht="15.0" customHeight="1">
      <c r="B411" s="24"/>
      <c r="C411" s="24"/>
      <c r="D411" s="24"/>
      <c r="E411" s="24"/>
      <c r="F411" s="24"/>
      <c r="G411" s="24"/>
      <c r="H411" s="24"/>
      <c r="I411" s="24"/>
      <c r="J411" s="24"/>
      <c r="M411" s="48"/>
      <c r="N411" s="48"/>
      <c r="O411" s="48"/>
      <c r="P411" s="50"/>
    </row>
    <row r="412" ht="15.0" customHeight="1">
      <c r="B412" s="24"/>
      <c r="C412" s="24"/>
      <c r="D412" s="24"/>
      <c r="E412" s="24"/>
      <c r="F412" s="24"/>
      <c r="G412" s="24"/>
      <c r="H412" s="24"/>
      <c r="I412" s="24"/>
      <c r="J412" s="24"/>
      <c r="M412" s="48"/>
      <c r="N412" s="48"/>
      <c r="O412" s="48"/>
      <c r="P412" s="50"/>
    </row>
    <row r="413" ht="15.0" customHeight="1">
      <c r="B413" s="24"/>
      <c r="C413" s="24"/>
      <c r="D413" s="24"/>
      <c r="E413" s="24"/>
      <c r="F413" s="24"/>
      <c r="G413" s="24"/>
      <c r="H413" s="24"/>
      <c r="I413" s="24"/>
      <c r="J413" s="24"/>
      <c r="M413" s="48"/>
      <c r="N413" s="48"/>
      <c r="O413" s="48"/>
      <c r="P413" s="50"/>
    </row>
    <row r="414" ht="15.0" customHeight="1">
      <c r="B414" s="24"/>
      <c r="C414" s="24"/>
      <c r="D414" s="24"/>
      <c r="E414" s="24"/>
      <c r="F414" s="24"/>
      <c r="G414" s="24"/>
      <c r="H414" s="24"/>
      <c r="I414" s="24"/>
      <c r="J414" s="24"/>
      <c r="M414" s="48"/>
      <c r="N414" s="48"/>
      <c r="O414" s="48"/>
      <c r="P414" s="50"/>
    </row>
    <row r="415" ht="15.0" customHeight="1">
      <c r="B415" s="24"/>
      <c r="C415" s="24"/>
      <c r="D415" s="24"/>
      <c r="E415" s="24"/>
      <c r="F415" s="24"/>
      <c r="G415" s="24"/>
      <c r="H415" s="24"/>
      <c r="I415" s="24"/>
      <c r="J415" s="24"/>
      <c r="M415" s="48"/>
      <c r="N415" s="48"/>
      <c r="O415" s="48"/>
      <c r="P415" s="50"/>
    </row>
    <row r="416" ht="15.0" customHeight="1">
      <c r="B416" s="24"/>
      <c r="C416" s="24"/>
      <c r="D416" s="24"/>
      <c r="E416" s="24"/>
      <c r="F416" s="24"/>
      <c r="G416" s="24"/>
      <c r="H416" s="24"/>
      <c r="I416" s="24"/>
      <c r="J416" s="24"/>
      <c r="M416" s="48"/>
      <c r="N416" s="48"/>
      <c r="O416" s="48"/>
      <c r="P416" s="50"/>
    </row>
    <row r="417" ht="15.0" customHeight="1">
      <c r="B417" s="24"/>
      <c r="C417" s="24"/>
      <c r="D417" s="24"/>
      <c r="E417" s="24"/>
      <c r="F417" s="24"/>
      <c r="G417" s="24"/>
      <c r="H417" s="24"/>
      <c r="I417" s="24"/>
      <c r="J417" s="24"/>
      <c r="M417" s="48"/>
      <c r="N417" s="48"/>
      <c r="O417" s="48"/>
      <c r="P417" s="50"/>
    </row>
    <row r="418" ht="15.0" customHeight="1">
      <c r="B418" s="24"/>
      <c r="C418" s="24"/>
      <c r="D418" s="24"/>
      <c r="E418" s="24"/>
      <c r="F418" s="24"/>
      <c r="G418" s="24"/>
      <c r="H418" s="24"/>
      <c r="I418" s="24"/>
      <c r="J418" s="24"/>
      <c r="M418" s="48"/>
      <c r="N418" s="48"/>
      <c r="O418" s="48"/>
      <c r="P418" s="50"/>
    </row>
    <row r="419" ht="15.0" customHeight="1">
      <c r="B419" s="24"/>
      <c r="C419" s="24"/>
      <c r="D419" s="24"/>
      <c r="E419" s="24"/>
      <c r="F419" s="24"/>
      <c r="G419" s="24"/>
      <c r="H419" s="24"/>
      <c r="I419" s="24"/>
      <c r="J419" s="24"/>
      <c r="M419" s="48"/>
      <c r="N419" s="48"/>
      <c r="O419" s="48"/>
      <c r="P419" s="50"/>
    </row>
    <row r="420" ht="15.0" customHeight="1">
      <c r="B420" s="24"/>
      <c r="C420" s="24"/>
      <c r="D420" s="24"/>
      <c r="E420" s="24"/>
      <c r="F420" s="24"/>
      <c r="G420" s="24"/>
      <c r="H420" s="24"/>
      <c r="I420" s="24"/>
      <c r="J420" s="24"/>
      <c r="M420" s="48"/>
      <c r="N420" s="48"/>
      <c r="O420" s="48"/>
      <c r="P420" s="50"/>
    </row>
    <row r="421" ht="15.0" customHeight="1">
      <c r="B421" s="24"/>
      <c r="C421" s="24"/>
      <c r="D421" s="24"/>
      <c r="E421" s="24"/>
      <c r="F421" s="24"/>
      <c r="G421" s="24"/>
      <c r="H421" s="24"/>
      <c r="I421" s="24"/>
      <c r="J421" s="24"/>
      <c r="M421" s="48"/>
      <c r="N421" s="48"/>
      <c r="O421" s="48"/>
      <c r="P421" s="50"/>
    </row>
    <row r="422" ht="15.0" customHeight="1">
      <c r="B422" s="24"/>
      <c r="C422" s="24"/>
      <c r="D422" s="24"/>
      <c r="E422" s="24"/>
      <c r="F422" s="24"/>
      <c r="G422" s="24"/>
      <c r="H422" s="24"/>
      <c r="I422" s="24"/>
      <c r="J422" s="24"/>
      <c r="M422" s="48"/>
      <c r="N422" s="48"/>
      <c r="O422" s="48"/>
      <c r="P422" s="50"/>
    </row>
    <row r="423" ht="15.0" customHeight="1">
      <c r="B423" s="24"/>
      <c r="C423" s="24"/>
      <c r="D423" s="24"/>
      <c r="E423" s="24"/>
      <c r="F423" s="24"/>
      <c r="G423" s="24"/>
      <c r="H423" s="24"/>
      <c r="I423" s="24"/>
      <c r="J423" s="24"/>
      <c r="M423" s="48"/>
      <c r="N423" s="48"/>
      <c r="O423" s="48"/>
      <c r="P423" s="50"/>
    </row>
    <row r="424" ht="15.0" customHeight="1">
      <c r="B424" s="24"/>
      <c r="C424" s="24"/>
      <c r="D424" s="24"/>
      <c r="E424" s="24"/>
      <c r="F424" s="24"/>
      <c r="G424" s="24"/>
      <c r="H424" s="24"/>
      <c r="I424" s="24"/>
      <c r="J424" s="24"/>
      <c r="M424" s="48"/>
      <c r="N424" s="48"/>
      <c r="O424" s="48"/>
      <c r="P424" s="50"/>
    </row>
    <row r="425" ht="15.0" customHeight="1">
      <c r="B425" s="24"/>
      <c r="C425" s="24"/>
      <c r="D425" s="24"/>
      <c r="E425" s="24"/>
      <c r="F425" s="24"/>
      <c r="G425" s="24"/>
      <c r="H425" s="24"/>
      <c r="I425" s="24"/>
      <c r="J425" s="24"/>
      <c r="M425" s="48"/>
      <c r="N425" s="48"/>
      <c r="O425" s="48"/>
      <c r="P425" s="50"/>
    </row>
    <row r="426" ht="15.0" customHeight="1">
      <c r="B426" s="24"/>
      <c r="C426" s="24"/>
      <c r="D426" s="24"/>
      <c r="E426" s="24"/>
      <c r="F426" s="24"/>
      <c r="G426" s="24"/>
      <c r="H426" s="24"/>
      <c r="I426" s="24"/>
      <c r="J426" s="24"/>
      <c r="M426" s="48"/>
      <c r="N426" s="48"/>
      <c r="O426" s="48"/>
      <c r="P426" s="50"/>
    </row>
    <row r="427" ht="15.0" customHeight="1">
      <c r="B427" s="24"/>
      <c r="C427" s="24"/>
      <c r="D427" s="24"/>
      <c r="E427" s="24"/>
      <c r="F427" s="24"/>
      <c r="G427" s="24"/>
      <c r="H427" s="24"/>
      <c r="I427" s="24"/>
      <c r="J427" s="24"/>
      <c r="M427" s="48"/>
      <c r="N427" s="48"/>
      <c r="O427" s="48"/>
      <c r="P427" s="50"/>
    </row>
    <row r="428" ht="15.0" customHeight="1">
      <c r="B428" s="24"/>
      <c r="C428" s="24"/>
      <c r="D428" s="24"/>
      <c r="E428" s="24"/>
      <c r="F428" s="24"/>
      <c r="G428" s="24"/>
      <c r="H428" s="24"/>
      <c r="I428" s="24"/>
      <c r="J428" s="24"/>
      <c r="M428" s="48"/>
      <c r="N428" s="48"/>
      <c r="O428" s="48"/>
      <c r="P428" s="50"/>
    </row>
    <row r="429" ht="15.0" customHeight="1">
      <c r="B429" s="24"/>
      <c r="C429" s="24"/>
      <c r="D429" s="24"/>
      <c r="E429" s="24"/>
      <c r="F429" s="24"/>
      <c r="G429" s="24"/>
      <c r="H429" s="24"/>
      <c r="I429" s="24"/>
      <c r="J429" s="24"/>
      <c r="M429" s="48"/>
      <c r="N429" s="48"/>
      <c r="O429" s="48"/>
      <c r="P429" s="50"/>
    </row>
    <row r="430" ht="15.0" customHeight="1">
      <c r="B430" s="24"/>
      <c r="C430" s="24"/>
      <c r="D430" s="24"/>
      <c r="E430" s="24"/>
      <c r="F430" s="24"/>
      <c r="G430" s="24"/>
      <c r="H430" s="24"/>
      <c r="I430" s="24"/>
      <c r="J430" s="24"/>
      <c r="M430" s="48"/>
      <c r="N430" s="48"/>
      <c r="O430" s="48"/>
      <c r="P430" s="50"/>
    </row>
    <row r="431" ht="15.0" customHeight="1">
      <c r="B431" s="24"/>
      <c r="C431" s="24"/>
      <c r="D431" s="24"/>
      <c r="E431" s="24"/>
      <c r="F431" s="24"/>
      <c r="G431" s="24"/>
      <c r="H431" s="24"/>
      <c r="I431" s="24"/>
      <c r="J431" s="24"/>
      <c r="M431" s="48"/>
      <c r="N431" s="48"/>
      <c r="O431" s="48"/>
      <c r="P431" s="50"/>
    </row>
    <row r="432" ht="15.0" customHeight="1">
      <c r="B432" s="24"/>
      <c r="C432" s="24"/>
      <c r="D432" s="24"/>
      <c r="E432" s="24"/>
      <c r="F432" s="24"/>
      <c r="G432" s="24"/>
      <c r="H432" s="24"/>
      <c r="I432" s="24"/>
      <c r="J432" s="24"/>
      <c r="M432" s="48"/>
      <c r="N432" s="48"/>
      <c r="O432" s="48"/>
      <c r="P432" s="50"/>
    </row>
    <row r="433" ht="15.0" customHeight="1">
      <c r="B433" s="24"/>
      <c r="C433" s="24"/>
      <c r="D433" s="24"/>
      <c r="E433" s="24"/>
      <c r="F433" s="24"/>
      <c r="G433" s="24"/>
      <c r="H433" s="24"/>
      <c r="I433" s="24"/>
      <c r="J433" s="24"/>
      <c r="M433" s="48"/>
      <c r="N433" s="48"/>
      <c r="O433" s="48"/>
      <c r="P433" s="50"/>
    </row>
    <row r="434" ht="15.0" customHeight="1">
      <c r="B434" s="24"/>
      <c r="C434" s="24"/>
      <c r="D434" s="24"/>
      <c r="E434" s="24"/>
      <c r="F434" s="24"/>
      <c r="G434" s="24"/>
      <c r="H434" s="24"/>
      <c r="I434" s="24"/>
      <c r="J434" s="24"/>
      <c r="M434" s="48"/>
      <c r="N434" s="48"/>
      <c r="O434" s="48"/>
      <c r="P434" s="50"/>
    </row>
    <row r="435" ht="15.0" customHeight="1">
      <c r="B435" s="24"/>
      <c r="C435" s="24"/>
      <c r="D435" s="24"/>
      <c r="E435" s="24"/>
      <c r="F435" s="24"/>
      <c r="G435" s="24"/>
      <c r="H435" s="24"/>
      <c r="I435" s="24"/>
      <c r="J435" s="24"/>
      <c r="M435" s="48"/>
      <c r="N435" s="48"/>
      <c r="O435" s="48"/>
      <c r="P435" s="50"/>
    </row>
    <row r="436" ht="15.0" customHeight="1">
      <c r="B436" s="24"/>
      <c r="C436" s="24"/>
      <c r="D436" s="24"/>
      <c r="E436" s="24"/>
      <c r="F436" s="24"/>
      <c r="G436" s="24"/>
      <c r="H436" s="24"/>
      <c r="I436" s="24"/>
      <c r="J436" s="24"/>
      <c r="M436" s="48"/>
      <c r="N436" s="48"/>
      <c r="O436" s="48"/>
      <c r="P436" s="50"/>
    </row>
    <row r="437" ht="15.0" customHeight="1">
      <c r="B437" s="24"/>
      <c r="C437" s="24"/>
      <c r="D437" s="24"/>
      <c r="E437" s="24"/>
      <c r="F437" s="24"/>
      <c r="G437" s="24"/>
      <c r="H437" s="24"/>
      <c r="I437" s="24"/>
      <c r="J437" s="24"/>
      <c r="M437" s="48"/>
      <c r="N437" s="48"/>
      <c r="O437" s="48"/>
      <c r="P437" s="50"/>
    </row>
    <row r="438" ht="15.0" customHeight="1">
      <c r="B438" s="24"/>
      <c r="C438" s="24"/>
      <c r="D438" s="24"/>
      <c r="E438" s="24"/>
      <c r="F438" s="24"/>
      <c r="G438" s="24"/>
      <c r="H438" s="24"/>
      <c r="I438" s="24"/>
      <c r="J438" s="24"/>
      <c r="M438" s="48"/>
      <c r="N438" s="48"/>
      <c r="O438" s="48"/>
      <c r="P438" s="50"/>
    </row>
    <row r="439" ht="15.0" customHeight="1">
      <c r="B439" s="24"/>
      <c r="C439" s="24"/>
      <c r="D439" s="24"/>
      <c r="E439" s="24"/>
      <c r="F439" s="24"/>
      <c r="G439" s="24"/>
      <c r="H439" s="24"/>
      <c r="I439" s="24"/>
      <c r="J439" s="24"/>
      <c r="M439" s="48"/>
      <c r="N439" s="48"/>
      <c r="O439" s="48"/>
      <c r="P439" s="50"/>
    </row>
    <row r="440" ht="15.0" customHeight="1">
      <c r="B440" s="24"/>
      <c r="C440" s="24"/>
      <c r="D440" s="24"/>
      <c r="E440" s="24"/>
      <c r="F440" s="24"/>
      <c r="G440" s="24"/>
      <c r="H440" s="24"/>
      <c r="I440" s="24"/>
      <c r="J440" s="24"/>
      <c r="M440" s="48"/>
      <c r="N440" s="48"/>
      <c r="O440" s="48"/>
      <c r="P440" s="50"/>
    </row>
    <row r="441" ht="15.0" customHeight="1">
      <c r="B441" s="24"/>
      <c r="C441" s="24"/>
      <c r="D441" s="24"/>
      <c r="E441" s="24"/>
      <c r="F441" s="24"/>
      <c r="G441" s="24"/>
      <c r="H441" s="24"/>
      <c r="I441" s="24"/>
      <c r="J441" s="24"/>
      <c r="M441" s="48"/>
      <c r="N441" s="48"/>
      <c r="O441" s="48"/>
      <c r="P441" s="50"/>
    </row>
    <row r="442" ht="15.0" customHeight="1">
      <c r="B442" s="24"/>
      <c r="C442" s="24"/>
      <c r="D442" s="24"/>
      <c r="E442" s="24"/>
      <c r="F442" s="24"/>
      <c r="G442" s="24"/>
      <c r="H442" s="24"/>
      <c r="I442" s="24"/>
      <c r="J442" s="24"/>
      <c r="M442" s="48"/>
      <c r="N442" s="48"/>
      <c r="O442" s="48"/>
      <c r="P442" s="50"/>
    </row>
    <row r="443" ht="15.0" customHeight="1">
      <c r="B443" s="24"/>
      <c r="C443" s="24"/>
      <c r="D443" s="24"/>
      <c r="E443" s="24"/>
      <c r="F443" s="24"/>
      <c r="G443" s="24"/>
      <c r="H443" s="24"/>
      <c r="I443" s="24"/>
      <c r="J443" s="24"/>
      <c r="M443" s="48"/>
      <c r="N443" s="48"/>
      <c r="O443" s="48"/>
      <c r="P443" s="50"/>
    </row>
    <row r="444" ht="15.0" customHeight="1">
      <c r="B444" s="24"/>
      <c r="C444" s="24"/>
      <c r="D444" s="24"/>
      <c r="E444" s="24"/>
      <c r="F444" s="24"/>
      <c r="G444" s="24"/>
      <c r="H444" s="24"/>
      <c r="I444" s="24"/>
      <c r="J444" s="24"/>
      <c r="M444" s="48"/>
      <c r="N444" s="48"/>
      <c r="O444" s="48"/>
      <c r="P444" s="50"/>
    </row>
    <row r="445" ht="15.0" customHeight="1">
      <c r="B445" s="24"/>
      <c r="C445" s="24"/>
      <c r="D445" s="24"/>
      <c r="E445" s="24"/>
      <c r="F445" s="24"/>
      <c r="G445" s="24"/>
      <c r="H445" s="24"/>
      <c r="I445" s="24"/>
      <c r="J445" s="24"/>
      <c r="M445" s="48"/>
      <c r="N445" s="48"/>
      <c r="O445" s="48"/>
      <c r="P445" s="50"/>
    </row>
    <row r="446" ht="15.0" customHeight="1">
      <c r="B446" s="24"/>
      <c r="C446" s="24"/>
      <c r="D446" s="24"/>
      <c r="E446" s="24"/>
      <c r="F446" s="24"/>
      <c r="G446" s="24"/>
      <c r="H446" s="24"/>
      <c r="I446" s="24"/>
      <c r="J446" s="24"/>
      <c r="M446" s="48"/>
      <c r="N446" s="48"/>
      <c r="O446" s="48"/>
      <c r="P446" s="50"/>
    </row>
    <row r="447" ht="15.0" customHeight="1">
      <c r="B447" s="24"/>
      <c r="C447" s="24"/>
      <c r="D447" s="24"/>
      <c r="E447" s="24"/>
      <c r="F447" s="24"/>
      <c r="G447" s="24"/>
      <c r="H447" s="24"/>
      <c r="I447" s="24"/>
      <c r="J447" s="24"/>
      <c r="M447" s="48"/>
      <c r="N447" s="48"/>
      <c r="O447" s="48"/>
      <c r="P447" s="50"/>
    </row>
    <row r="448" ht="15.0" customHeight="1">
      <c r="B448" s="24"/>
      <c r="C448" s="24"/>
      <c r="D448" s="24"/>
      <c r="E448" s="24"/>
      <c r="F448" s="24"/>
      <c r="G448" s="24"/>
      <c r="H448" s="24"/>
      <c r="I448" s="24"/>
      <c r="J448" s="24"/>
      <c r="M448" s="48"/>
      <c r="N448" s="48"/>
      <c r="O448" s="48"/>
      <c r="P448" s="50"/>
    </row>
    <row r="449" ht="15.0" customHeight="1">
      <c r="B449" s="24"/>
      <c r="C449" s="24"/>
      <c r="D449" s="24"/>
      <c r="E449" s="24"/>
      <c r="F449" s="24"/>
      <c r="G449" s="24"/>
      <c r="H449" s="24"/>
      <c r="I449" s="24"/>
      <c r="J449" s="24"/>
      <c r="M449" s="48"/>
      <c r="N449" s="48"/>
      <c r="O449" s="48"/>
      <c r="P449" s="50"/>
    </row>
    <row r="450" ht="15.0" customHeight="1">
      <c r="B450" s="24"/>
      <c r="C450" s="24"/>
      <c r="D450" s="24"/>
      <c r="E450" s="24"/>
      <c r="F450" s="24"/>
      <c r="G450" s="24"/>
      <c r="H450" s="24"/>
      <c r="I450" s="24"/>
      <c r="J450" s="24"/>
      <c r="M450" s="48"/>
      <c r="N450" s="48"/>
      <c r="O450" s="48"/>
      <c r="P450" s="50"/>
    </row>
    <row r="451" ht="15.0" customHeight="1">
      <c r="B451" s="24"/>
      <c r="C451" s="24"/>
      <c r="D451" s="24"/>
      <c r="E451" s="24"/>
      <c r="F451" s="24"/>
      <c r="G451" s="24"/>
      <c r="H451" s="24"/>
      <c r="I451" s="24"/>
      <c r="J451" s="24"/>
      <c r="M451" s="48"/>
      <c r="N451" s="48"/>
      <c r="O451" s="48"/>
      <c r="P451" s="50"/>
    </row>
    <row r="452" ht="15.0" customHeight="1">
      <c r="B452" s="24"/>
      <c r="C452" s="24"/>
      <c r="D452" s="24"/>
      <c r="E452" s="24"/>
      <c r="F452" s="24"/>
      <c r="G452" s="24"/>
      <c r="H452" s="24"/>
      <c r="I452" s="24"/>
      <c r="J452" s="24"/>
      <c r="M452" s="48"/>
      <c r="N452" s="48"/>
      <c r="O452" s="48"/>
      <c r="P452" s="50"/>
    </row>
    <row r="453" ht="15.0" customHeight="1">
      <c r="B453" s="24"/>
      <c r="C453" s="24"/>
      <c r="D453" s="24"/>
      <c r="E453" s="24"/>
      <c r="F453" s="24"/>
      <c r="G453" s="24"/>
      <c r="H453" s="24"/>
      <c r="I453" s="24"/>
      <c r="J453" s="24"/>
      <c r="M453" s="48"/>
      <c r="N453" s="48"/>
      <c r="O453" s="48"/>
      <c r="P453" s="50"/>
    </row>
    <row r="454" ht="15.0" customHeight="1">
      <c r="B454" s="24"/>
      <c r="C454" s="24"/>
      <c r="D454" s="24"/>
      <c r="E454" s="24"/>
      <c r="F454" s="24"/>
      <c r="G454" s="24"/>
      <c r="H454" s="24"/>
      <c r="I454" s="24"/>
      <c r="J454" s="24"/>
      <c r="M454" s="48"/>
      <c r="N454" s="48"/>
      <c r="O454" s="48"/>
      <c r="P454" s="50"/>
    </row>
    <row r="455" ht="15.0" customHeight="1">
      <c r="B455" s="24"/>
      <c r="C455" s="24"/>
      <c r="D455" s="24"/>
      <c r="E455" s="24"/>
      <c r="F455" s="24"/>
      <c r="G455" s="24"/>
      <c r="H455" s="24"/>
      <c r="I455" s="24"/>
      <c r="J455" s="24"/>
      <c r="M455" s="48"/>
      <c r="N455" s="48"/>
      <c r="O455" s="48"/>
      <c r="P455" s="50"/>
    </row>
    <row r="456" ht="15.0" customHeight="1">
      <c r="B456" s="24"/>
      <c r="C456" s="24"/>
      <c r="D456" s="24"/>
      <c r="E456" s="24"/>
      <c r="F456" s="24"/>
      <c r="G456" s="24"/>
      <c r="H456" s="24"/>
      <c r="I456" s="24"/>
      <c r="J456" s="24"/>
      <c r="M456" s="48"/>
      <c r="N456" s="48"/>
      <c r="O456" s="48"/>
      <c r="P456" s="50"/>
    </row>
    <row r="457" ht="15.0" customHeight="1">
      <c r="B457" s="24"/>
      <c r="C457" s="24"/>
      <c r="D457" s="24"/>
      <c r="E457" s="24"/>
      <c r="F457" s="24"/>
      <c r="G457" s="24"/>
      <c r="H457" s="24"/>
      <c r="I457" s="24"/>
      <c r="J457" s="24"/>
      <c r="M457" s="48"/>
      <c r="N457" s="48"/>
      <c r="O457" s="48"/>
      <c r="P457" s="50"/>
    </row>
    <row r="458" ht="15.0" customHeight="1">
      <c r="B458" s="24"/>
      <c r="C458" s="24"/>
      <c r="D458" s="24"/>
      <c r="E458" s="24"/>
      <c r="F458" s="24"/>
      <c r="G458" s="24"/>
      <c r="H458" s="24"/>
      <c r="I458" s="24"/>
      <c r="J458" s="24"/>
      <c r="M458" s="48"/>
      <c r="N458" s="48"/>
      <c r="O458" s="48"/>
      <c r="P458" s="50"/>
    </row>
    <row r="459" ht="15.0" customHeight="1">
      <c r="B459" s="24"/>
      <c r="C459" s="24"/>
      <c r="D459" s="24"/>
      <c r="E459" s="24"/>
      <c r="F459" s="24"/>
      <c r="G459" s="24"/>
      <c r="H459" s="24"/>
      <c r="I459" s="24"/>
      <c r="J459" s="24"/>
      <c r="M459" s="48"/>
      <c r="N459" s="48"/>
      <c r="O459" s="48"/>
      <c r="P459" s="50"/>
    </row>
    <row r="460" ht="15.0" customHeight="1">
      <c r="B460" s="24"/>
      <c r="C460" s="24"/>
      <c r="D460" s="24"/>
      <c r="E460" s="24"/>
      <c r="F460" s="24"/>
      <c r="G460" s="24"/>
      <c r="H460" s="24"/>
      <c r="I460" s="24"/>
      <c r="J460" s="24"/>
      <c r="M460" s="48"/>
      <c r="N460" s="48"/>
      <c r="O460" s="48"/>
      <c r="P460" s="50"/>
    </row>
    <row r="461" ht="15.0" customHeight="1">
      <c r="B461" s="24"/>
      <c r="C461" s="24"/>
      <c r="D461" s="24"/>
      <c r="E461" s="24"/>
      <c r="F461" s="24"/>
      <c r="G461" s="24"/>
      <c r="H461" s="24"/>
      <c r="I461" s="24"/>
      <c r="J461" s="24"/>
      <c r="M461" s="48"/>
      <c r="N461" s="48"/>
      <c r="O461" s="48"/>
      <c r="P461" s="50"/>
    </row>
    <row r="462" ht="15.0" customHeight="1">
      <c r="B462" s="24"/>
      <c r="C462" s="24"/>
      <c r="D462" s="24"/>
      <c r="E462" s="24"/>
      <c r="F462" s="24"/>
      <c r="G462" s="24"/>
      <c r="H462" s="24"/>
      <c r="I462" s="24"/>
      <c r="J462" s="24"/>
      <c r="M462" s="48"/>
      <c r="N462" s="48"/>
      <c r="O462" s="48"/>
      <c r="P462" s="50"/>
    </row>
    <row r="463" ht="15.0" customHeight="1">
      <c r="B463" s="24"/>
      <c r="C463" s="24"/>
      <c r="D463" s="24"/>
      <c r="E463" s="24"/>
      <c r="F463" s="24"/>
      <c r="G463" s="24"/>
      <c r="H463" s="24"/>
      <c r="I463" s="24"/>
      <c r="J463" s="24"/>
      <c r="M463" s="48"/>
      <c r="N463" s="48"/>
      <c r="O463" s="48"/>
      <c r="P463" s="50"/>
    </row>
    <row r="464" ht="15.0" customHeight="1">
      <c r="B464" s="24"/>
      <c r="C464" s="24"/>
      <c r="D464" s="24"/>
      <c r="E464" s="24"/>
      <c r="F464" s="24"/>
      <c r="G464" s="24"/>
      <c r="H464" s="24"/>
      <c r="I464" s="24"/>
      <c r="J464" s="24"/>
      <c r="M464" s="48"/>
      <c r="N464" s="48"/>
      <c r="O464" s="48"/>
      <c r="P464" s="50"/>
    </row>
    <row r="465" ht="15.0" customHeight="1">
      <c r="B465" s="24"/>
      <c r="C465" s="24"/>
      <c r="D465" s="24"/>
      <c r="E465" s="24"/>
      <c r="F465" s="24"/>
      <c r="G465" s="24"/>
      <c r="H465" s="24"/>
      <c r="I465" s="24"/>
      <c r="J465" s="24"/>
      <c r="M465" s="48"/>
      <c r="N465" s="48"/>
      <c r="O465" s="48"/>
      <c r="P465" s="50"/>
    </row>
    <row r="466" ht="15.0" customHeight="1">
      <c r="B466" s="24"/>
      <c r="C466" s="24"/>
      <c r="D466" s="24"/>
      <c r="E466" s="24"/>
      <c r="F466" s="24"/>
      <c r="G466" s="24"/>
      <c r="H466" s="24"/>
      <c r="I466" s="24"/>
      <c r="J466" s="24"/>
      <c r="M466" s="48"/>
      <c r="N466" s="48"/>
      <c r="O466" s="48"/>
      <c r="P466" s="50"/>
    </row>
    <row r="467" ht="15.0" customHeight="1">
      <c r="B467" s="24"/>
      <c r="C467" s="24"/>
      <c r="D467" s="24"/>
      <c r="E467" s="24"/>
      <c r="F467" s="24"/>
      <c r="G467" s="24"/>
      <c r="H467" s="24"/>
      <c r="I467" s="24"/>
      <c r="J467" s="24"/>
      <c r="M467" s="48"/>
      <c r="N467" s="48"/>
      <c r="O467" s="48"/>
      <c r="P467" s="50"/>
    </row>
    <row r="468" ht="15.0" customHeight="1">
      <c r="B468" s="24"/>
      <c r="C468" s="24"/>
      <c r="D468" s="24"/>
      <c r="E468" s="24"/>
      <c r="F468" s="24"/>
      <c r="G468" s="24"/>
      <c r="H468" s="24"/>
      <c r="I468" s="24"/>
      <c r="J468" s="24"/>
      <c r="M468" s="48"/>
      <c r="N468" s="48"/>
      <c r="O468" s="48"/>
      <c r="P468" s="50"/>
    </row>
    <row r="469" ht="15.0" customHeight="1">
      <c r="B469" s="24"/>
      <c r="C469" s="24"/>
      <c r="D469" s="24"/>
      <c r="E469" s="24"/>
      <c r="F469" s="24"/>
      <c r="G469" s="24"/>
      <c r="H469" s="24"/>
      <c r="I469" s="24"/>
      <c r="J469" s="24"/>
      <c r="M469" s="48"/>
      <c r="N469" s="48"/>
      <c r="O469" s="48"/>
      <c r="P469" s="50"/>
    </row>
    <row r="470" ht="15.0" customHeight="1">
      <c r="B470" s="24"/>
      <c r="C470" s="24"/>
      <c r="D470" s="24"/>
      <c r="E470" s="24"/>
      <c r="F470" s="24"/>
      <c r="G470" s="24"/>
      <c r="H470" s="24"/>
      <c r="I470" s="24"/>
      <c r="J470" s="24"/>
      <c r="M470" s="48"/>
      <c r="N470" s="48"/>
      <c r="O470" s="48"/>
      <c r="P470" s="50"/>
    </row>
    <row r="471" ht="15.0" customHeight="1">
      <c r="B471" s="24"/>
      <c r="C471" s="24"/>
      <c r="D471" s="24"/>
      <c r="E471" s="24"/>
      <c r="F471" s="24"/>
      <c r="G471" s="24"/>
      <c r="H471" s="24"/>
      <c r="I471" s="24"/>
      <c r="J471" s="24"/>
      <c r="M471" s="48"/>
      <c r="N471" s="48"/>
      <c r="O471" s="48"/>
      <c r="P471" s="50"/>
    </row>
    <row r="472" ht="15.0" customHeight="1">
      <c r="B472" s="24"/>
      <c r="C472" s="24"/>
      <c r="D472" s="24"/>
      <c r="E472" s="24"/>
      <c r="F472" s="24"/>
      <c r="G472" s="24"/>
      <c r="H472" s="24"/>
      <c r="I472" s="24"/>
      <c r="J472" s="24"/>
      <c r="M472" s="48"/>
      <c r="N472" s="48"/>
      <c r="O472" s="48"/>
      <c r="P472" s="50"/>
    </row>
    <row r="473" ht="15.0" customHeight="1">
      <c r="B473" s="24"/>
      <c r="C473" s="24"/>
      <c r="D473" s="24"/>
      <c r="E473" s="24"/>
      <c r="F473" s="24"/>
      <c r="G473" s="24"/>
      <c r="H473" s="24"/>
      <c r="I473" s="24"/>
      <c r="J473" s="24"/>
      <c r="M473" s="48"/>
      <c r="N473" s="48"/>
      <c r="O473" s="48"/>
      <c r="P473" s="50"/>
    </row>
    <row r="474" ht="15.0" customHeight="1">
      <c r="B474" s="24"/>
      <c r="C474" s="24"/>
      <c r="D474" s="24"/>
      <c r="E474" s="24"/>
      <c r="F474" s="24"/>
      <c r="G474" s="24"/>
      <c r="H474" s="24"/>
      <c r="I474" s="24"/>
      <c r="J474" s="24"/>
      <c r="M474" s="48"/>
      <c r="N474" s="48"/>
      <c r="O474" s="48"/>
      <c r="P474" s="50"/>
    </row>
    <row r="475" ht="15.0" customHeight="1">
      <c r="B475" s="24"/>
      <c r="C475" s="24"/>
      <c r="D475" s="24"/>
      <c r="E475" s="24"/>
      <c r="F475" s="24"/>
      <c r="G475" s="24"/>
      <c r="H475" s="24"/>
      <c r="I475" s="24"/>
      <c r="J475" s="24"/>
      <c r="M475" s="48"/>
      <c r="N475" s="48"/>
      <c r="O475" s="48"/>
      <c r="P475" s="50"/>
    </row>
    <row r="476" ht="15.0" customHeight="1">
      <c r="B476" s="24"/>
      <c r="C476" s="24"/>
      <c r="D476" s="24"/>
      <c r="E476" s="24"/>
      <c r="F476" s="24"/>
      <c r="G476" s="24"/>
      <c r="H476" s="24"/>
      <c r="I476" s="24"/>
      <c r="J476" s="24"/>
      <c r="M476" s="48"/>
      <c r="N476" s="48"/>
      <c r="O476" s="48"/>
      <c r="P476" s="50"/>
    </row>
    <row r="477" ht="15.0" customHeight="1">
      <c r="B477" s="24"/>
      <c r="C477" s="24"/>
      <c r="D477" s="24"/>
      <c r="E477" s="24"/>
      <c r="F477" s="24"/>
      <c r="G477" s="24"/>
      <c r="H477" s="24"/>
      <c r="I477" s="24"/>
      <c r="J477" s="24"/>
      <c r="M477" s="48"/>
      <c r="N477" s="48"/>
      <c r="O477" s="48"/>
      <c r="P477" s="50"/>
    </row>
    <row r="478" ht="15.0" customHeight="1">
      <c r="B478" s="24"/>
      <c r="C478" s="24"/>
      <c r="D478" s="24"/>
      <c r="E478" s="24"/>
      <c r="F478" s="24"/>
      <c r="G478" s="24"/>
      <c r="H478" s="24"/>
      <c r="I478" s="24"/>
      <c r="J478" s="24"/>
      <c r="M478" s="48"/>
      <c r="N478" s="48"/>
      <c r="O478" s="48"/>
      <c r="P478" s="50"/>
    </row>
    <row r="479" ht="15.0" customHeight="1">
      <c r="B479" s="24"/>
      <c r="C479" s="24"/>
      <c r="D479" s="24"/>
      <c r="E479" s="24"/>
      <c r="F479" s="24"/>
      <c r="G479" s="24"/>
      <c r="H479" s="24"/>
      <c r="I479" s="24"/>
      <c r="J479" s="24"/>
      <c r="M479" s="48"/>
      <c r="N479" s="48"/>
      <c r="O479" s="48"/>
      <c r="P479" s="50"/>
    </row>
    <row r="480" ht="15.0" customHeight="1">
      <c r="B480" s="24"/>
      <c r="C480" s="24"/>
      <c r="D480" s="24"/>
      <c r="E480" s="24"/>
      <c r="F480" s="24"/>
      <c r="G480" s="24"/>
      <c r="H480" s="24"/>
      <c r="I480" s="24"/>
      <c r="J480" s="24"/>
      <c r="M480" s="48"/>
      <c r="N480" s="48"/>
      <c r="O480" s="48"/>
      <c r="P480" s="50"/>
    </row>
    <row r="481" ht="15.0" customHeight="1">
      <c r="B481" s="24"/>
      <c r="C481" s="24"/>
      <c r="D481" s="24"/>
      <c r="E481" s="24"/>
      <c r="F481" s="24"/>
      <c r="G481" s="24"/>
      <c r="H481" s="24"/>
      <c r="I481" s="24"/>
      <c r="J481" s="24"/>
      <c r="M481" s="48"/>
      <c r="N481" s="48"/>
      <c r="O481" s="48"/>
      <c r="P481" s="50"/>
    </row>
    <row r="482" ht="15.0" customHeight="1">
      <c r="B482" s="24"/>
      <c r="C482" s="24"/>
      <c r="D482" s="24"/>
      <c r="E482" s="24"/>
      <c r="F482" s="24"/>
      <c r="G482" s="24"/>
      <c r="H482" s="24"/>
      <c r="I482" s="24"/>
      <c r="J482" s="24"/>
      <c r="M482" s="48"/>
      <c r="N482" s="48"/>
      <c r="O482" s="48"/>
      <c r="P482" s="50"/>
    </row>
    <row r="483" ht="15.0" customHeight="1">
      <c r="B483" s="24"/>
      <c r="C483" s="24"/>
      <c r="D483" s="24"/>
      <c r="E483" s="24"/>
      <c r="F483" s="24"/>
      <c r="G483" s="24"/>
      <c r="H483" s="24"/>
      <c r="I483" s="24"/>
      <c r="J483" s="24"/>
      <c r="M483" s="48"/>
      <c r="N483" s="48"/>
      <c r="O483" s="48"/>
      <c r="P483" s="50"/>
    </row>
    <row r="484" ht="15.0" customHeight="1">
      <c r="B484" s="24"/>
      <c r="C484" s="24"/>
      <c r="D484" s="24"/>
      <c r="E484" s="24"/>
      <c r="F484" s="24"/>
      <c r="G484" s="24"/>
      <c r="H484" s="24"/>
      <c r="I484" s="24"/>
      <c r="J484" s="24"/>
      <c r="M484" s="48"/>
      <c r="N484" s="48"/>
      <c r="O484" s="48"/>
      <c r="P484" s="50"/>
    </row>
    <row r="485" ht="15.0" customHeight="1">
      <c r="B485" s="24"/>
      <c r="C485" s="24"/>
      <c r="D485" s="24"/>
      <c r="E485" s="24"/>
      <c r="F485" s="24"/>
      <c r="G485" s="24"/>
      <c r="H485" s="24"/>
      <c r="I485" s="24"/>
      <c r="J485" s="24"/>
      <c r="M485" s="48"/>
      <c r="N485" s="48"/>
      <c r="O485" s="48"/>
      <c r="P485" s="50"/>
    </row>
    <row r="486" ht="15.0" customHeight="1">
      <c r="B486" s="24"/>
      <c r="C486" s="24"/>
      <c r="D486" s="24"/>
      <c r="E486" s="24"/>
      <c r="F486" s="24"/>
      <c r="G486" s="24"/>
      <c r="H486" s="24"/>
      <c r="I486" s="24"/>
      <c r="J486" s="24"/>
      <c r="M486" s="48"/>
      <c r="N486" s="48"/>
      <c r="O486" s="48"/>
      <c r="P486" s="50"/>
    </row>
    <row r="487" ht="15.0" customHeight="1">
      <c r="B487" s="24"/>
      <c r="C487" s="24"/>
      <c r="D487" s="24"/>
      <c r="E487" s="24"/>
      <c r="F487" s="24"/>
      <c r="G487" s="24"/>
      <c r="H487" s="24"/>
      <c r="I487" s="24"/>
      <c r="J487" s="24"/>
      <c r="M487" s="48"/>
      <c r="N487" s="48"/>
      <c r="O487" s="48"/>
      <c r="P487" s="50"/>
    </row>
    <row r="488" ht="15.0" customHeight="1">
      <c r="B488" s="24"/>
      <c r="C488" s="24"/>
      <c r="D488" s="24"/>
      <c r="E488" s="24"/>
      <c r="F488" s="24"/>
      <c r="G488" s="24"/>
      <c r="H488" s="24"/>
      <c r="I488" s="24"/>
      <c r="J488" s="24"/>
      <c r="M488" s="48"/>
      <c r="N488" s="48"/>
      <c r="O488" s="48"/>
      <c r="P488" s="50"/>
    </row>
    <row r="489" ht="15.0" customHeight="1">
      <c r="B489" s="24"/>
      <c r="C489" s="24"/>
      <c r="D489" s="24"/>
      <c r="E489" s="24"/>
      <c r="F489" s="24"/>
      <c r="G489" s="24"/>
      <c r="H489" s="24"/>
      <c r="I489" s="24"/>
      <c r="J489" s="24"/>
      <c r="M489" s="48"/>
      <c r="N489" s="48"/>
      <c r="O489" s="48"/>
      <c r="P489" s="50"/>
    </row>
    <row r="490" ht="15.0" customHeight="1">
      <c r="B490" s="24"/>
      <c r="C490" s="24"/>
      <c r="D490" s="24"/>
      <c r="E490" s="24"/>
      <c r="F490" s="24"/>
      <c r="G490" s="24"/>
      <c r="H490" s="24"/>
      <c r="I490" s="24"/>
      <c r="J490" s="24"/>
      <c r="M490" s="48"/>
      <c r="N490" s="48"/>
      <c r="O490" s="48"/>
      <c r="P490" s="50"/>
    </row>
    <row r="491" ht="15.0" customHeight="1">
      <c r="B491" s="24"/>
      <c r="C491" s="24"/>
      <c r="D491" s="24"/>
      <c r="E491" s="24"/>
      <c r="F491" s="24"/>
      <c r="G491" s="24"/>
      <c r="H491" s="24"/>
      <c r="I491" s="24"/>
      <c r="J491" s="24"/>
      <c r="M491" s="48"/>
      <c r="N491" s="48"/>
      <c r="O491" s="48"/>
      <c r="P491" s="50"/>
    </row>
    <row r="492" ht="15.0" customHeight="1">
      <c r="B492" s="24"/>
      <c r="C492" s="24"/>
      <c r="D492" s="24"/>
      <c r="E492" s="24"/>
      <c r="F492" s="24"/>
      <c r="G492" s="24"/>
      <c r="H492" s="24"/>
      <c r="I492" s="24"/>
      <c r="J492" s="24"/>
      <c r="M492" s="48"/>
      <c r="N492" s="48"/>
      <c r="O492" s="48"/>
      <c r="P492" s="50"/>
    </row>
    <row r="493" ht="15.0" customHeight="1">
      <c r="B493" s="24"/>
      <c r="C493" s="24"/>
      <c r="D493" s="24"/>
      <c r="E493" s="24"/>
      <c r="F493" s="24"/>
      <c r="G493" s="24"/>
      <c r="H493" s="24"/>
      <c r="I493" s="24"/>
      <c r="J493" s="24"/>
      <c r="M493" s="48"/>
      <c r="N493" s="48"/>
      <c r="O493" s="48"/>
      <c r="P493" s="50"/>
    </row>
    <row r="494" ht="15.0" customHeight="1">
      <c r="B494" s="24"/>
      <c r="C494" s="24"/>
      <c r="D494" s="24"/>
      <c r="E494" s="24"/>
      <c r="F494" s="24"/>
      <c r="G494" s="24"/>
      <c r="H494" s="24"/>
      <c r="I494" s="24"/>
      <c r="J494" s="24"/>
      <c r="M494" s="48"/>
      <c r="N494" s="48"/>
      <c r="O494" s="48"/>
      <c r="P494" s="50"/>
    </row>
    <row r="495" ht="15.0" customHeight="1">
      <c r="B495" s="24"/>
      <c r="C495" s="24"/>
      <c r="D495" s="24"/>
      <c r="E495" s="24"/>
      <c r="F495" s="24"/>
      <c r="G495" s="24"/>
      <c r="H495" s="24"/>
      <c r="I495" s="24"/>
      <c r="J495" s="24"/>
      <c r="M495" s="48"/>
      <c r="N495" s="48"/>
      <c r="O495" s="48"/>
      <c r="P495" s="50"/>
    </row>
    <row r="496" ht="15.0" customHeight="1">
      <c r="B496" s="24"/>
      <c r="C496" s="24"/>
      <c r="D496" s="24"/>
      <c r="E496" s="24"/>
      <c r="F496" s="24"/>
      <c r="G496" s="24"/>
      <c r="H496" s="24"/>
      <c r="I496" s="24"/>
      <c r="J496" s="24"/>
      <c r="M496" s="48"/>
      <c r="N496" s="48"/>
      <c r="O496" s="48"/>
      <c r="P496" s="50"/>
    </row>
    <row r="497" ht="15.0" customHeight="1">
      <c r="B497" s="24"/>
      <c r="C497" s="24"/>
      <c r="D497" s="24"/>
      <c r="E497" s="24"/>
      <c r="F497" s="24"/>
      <c r="G497" s="24"/>
      <c r="H497" s="24"/>
      <c r="I497" s="24"/>
      <c r="J497" s="24"/>
      <c r="M497" s="48"/>
      <c r="N497" s="48"/>
      <c r="O497" s="48"/>
      <c r="P497" s="50"/>
    </row>
    <row r="498" ht="15.0" customHeight="1">
      <c r="B498" s="24"/>
      <c r="C498" s="24"/>
      <c r="D498" s="24"/>
      <c r="E498" s="24"/>
      <c r="F498" s="24"/>
      <c r="G498" s="24"/>
      <c r="H498" s="24"/>
      <c r="I498" s="24"/>
      <c r="J498" s="24"/>
      <c r="M498" s="48"/>
      <c r="N498" s="48"/>
      <c r="O498" s="48"/>
      <c r="P498" s="50"/>
    </row>
    <row r="499" ht="15.0" customHeight="1">
      <c r="B499" s="24"/>
      <c r="C499" s="24"/>
      <c r="D499" s="24"/>
      <c r="E499" s="24"/>
      <c r="F499" s="24"/>
      <c r="G499" s="24"/>
      <c r="H499" s="24"/>
      <c r="I499" s="24"/>
      <c r="J499" s="24"/>
      <c r="M499" s="48"/>
      <c r="N499" s="48"/>
      <c r="O499" s="48"/>
      <c r="P499" s="50"/>
    </row>
    <row r="500" ht="15.0" customHeight="1">
      <c r="B500" s="24"/>
      <c r="C500" s="24"/>
      <c r="D500" s="24"/>
      <c r="E500" s="24"/>
      <c r="F500" s="24"/>
      <c r="G500" s="24"/>
      <c r="H500" s="24"/>
      <c r="I500" s="24"/>
      <c r="J500" s="24"/>
      <c r="M500" s="48"/>
      <c r="N500" s="48"/>
      <c r="O500" s="48"/>
      <c r="P500" s="50"/>
    </row>
    <row r="501" ht="15.0" customHeight="1">
      <c r="B501" s="24"/>
      <c r="C501" s="24"/>
      <c r="D501" s="24"/>
      <c r="E501" s="24"/>
      <c r="F501" s="24"/>
      <c r="G501" s="24"/>
      <c r="H501" s="24"/>
      <c r="I501" s="24"/>
      <c r="J501" s="24"/>
      <c r="M501" s="48"/>
      <c r="N501" s="48"/>
      <c r="O501" s="48"/>
      <c r="P501" s="50"/>
    </row>
    <row r="502" ht="15.0" customHeight="1">
      <c r="B502" s="24"/>
      <c r="C502" s="24"/>
      <c r="D502" s="24"/>
      <c r="E502" s="24"/>
      <c r="F502" s="24"/>
      <c r="G502" s="24"/>
      <c r="H502" s="24"/>
      <c r="I502" s="24"/>
      <c r="J502" s="24"/>
      <c r="M502" s="48"/>
      <c r="N502" s="48"/>
      <c r="O502" s="48"/>
      <c r="P502" s="50"/>
    </row>
    <row r="503" ht="15.0" customHeight="1">
      <c r="B503" s="24"/>
      <c r="C503" s="24"/>
      <c r="D503" s="24"/>
      <c r="E503" s="24"/>
      <c r="F503" s="24"/>
      <c r="G503" s="24"/>
      <c r="H503" s="24"/>
      <c r="I503" s="24"/>
      <c r="J503" s="24"/>
      <c r="M503" s="48"/>
      <c r="N503" s="48"/>
      <c r="O503" s="48"/>
      <c r="P503" s="50"/>
    </row>
    <row r="504" ht="15.0" customHeight="1">
      <c r="B504" s="24"/>
      <c r="C504" s="24"/>
      <c r="D504" s="24"/>
      <c r="E504" s="24"/>
      <c r="F504" s="24"/>
      <c r="G504" s="24"/>
      <c r="H504" s="24"/>
      <c r="I504" s="24"/>
      <c r="J504" s="24"/>
      <c r="M504" s="48"/>
      <c r="N504" s="48"/>
      <c r="O504" s="48"/>
      <c r="P504" s="50"/>
    </row>
    <row r="505" ht="15.0" customHeight="1">
      <c r="B505" s="24"/>
      <c r="C505" s="24"/>
      <c r="D505" s="24"/>
      <c r="E505" s="24"/>
      <c r="F505" s="24"/>
      <c r="G505" s="24"/>
      <c r="H505" s="24"/>
      <c r="I505" s="24"/>
      <c r="J505" s="24"/>
      <c r="M505" s="48"/>
      <c r="N505" s="48"/>
      <c r="O505" s="48"/>
      <c r="P505" s="50"/>
    </row>
    <row r="506" ht="15.0" customHeight="1">
      <c r="B506" s="24"/>
      <c r="C506" s="24"/>
      <c r="D506" s="24"/>
      <c r="E506" s="24"/>
      <c r="F506" s="24"/>
      <c r="G506" s="24"/>
      <c r="H506" s="24"/>
      <c r="I506" s="24"/>
      <c r="J506" s="24"/>
      <c r="M506" s="48"/>
      <c r="N506" s="48"/>
      <c r="O506" s="48"/>
      <c r="P506" s="50"/>
    </row>
    <row r="507" ht="15.0" customHeight="1">
      <c r="B507" s="24"/>
      <c r="C507" s="24"/>
      <c r="D507" s="24"/>
      <c r="E507" s="24"/>
      <c r="F507" s="24"/>
      <c r="G507" s="24"/>
      <c r="H507" s="24"/>
      <c r="I507" s="24"/>
      <c r="J507" s="24"/>
      <c r="M507" s="48"/>
      <c r="N507" s="48"/>
      <c r="O507" s="48"/>
      <c r="P507" s="50"/>
    </row>
    <row r="508" ht="15.0" customHeight="1">
      <c r="B508" s="24"/>
      <c r="C508" s="24"/>
      <c r="D508" s="24"/>
      <c r="E508" s="24"/>
      <c r="F508" s="24"/>
      <c r="G508" s="24"/>
      <c r="H508" s="24"/>
      <c r="I508" s="24"/>
      <c r="J508" s="24"/>
      <c r="M508" s="48"/>
      <c r="N508" s="48"/>
      <c r="O508" s="48"/>
      <c r="P508" s="50"/>
    </row>
    <row r="509" ht="15.0" customHeight="1">
      <c r="B509" s="24"/>
      <c r="C509" s="24"/>
      <c r="D509" s="24"/>
      <c r="E509" s="24"/>
      <c r="F509" s="24"/>
      <c r="G509" s="24"/>
      <c r="H509" s="24"/>
      <c r="I509" s="24"/>
      <c r="J509" s="24"/>
      <c r="M509" s="48"/>
      <c r="N509" s="48"/>
      <c r="O509" s="48"/>
      <c r="P509" s="50"/>
    </row>
    <row r="510" ht="15.0" customHeight="1">
      <c r="B510" s="24"/>
      <c r="C510" s="24"/>
      <c r="D510" s="24"/>
      <c r="E510" s="24"/>
      <c r="F510" s="24"/>
      <c r="G510" s="24"/>
      <c r="H510" s="24"/>
      <c r="I510" s="24"/>
      <c r="J510" s="24"/>
      <c r="M510" s="48"/>
      <c r="N510" s="48"/>
      <c r="O510" s="48"/>
      <c r="P510" s="50"/>
    </row>
    <row r="511" ht="15.0" customHeight="1">
      <c r="B511" s="24"/>
      <c r="C511" s="24"/>
      <c r="D511" s="24"/>
      <c r="E511" s="24"/>
      <c r="F511" s="24"/>
      <c r="G511" s="24"/>
      <c r="H511" s="24"/>
      <c r="I511" s="24"/>
      <c r="J511" s="24"/>
      <c r="M511" s="48"/>
      <c r="N511" s="48"/>
      <c r="O511" s="48"/>
      <c r="P511" s="50"/>
    </row>
    <row r="512" ht="15.0" customHeight="1">
      <c r="B512" s="24"/>
      <c r="C512" s="24"/>
      <c r="D512" s="24"/>
      <c r="E512" s="24"/>
      <c r="F512" s="24"/>
      <c r="G512" s="24"/>
      <c r="H512" s="24"/>
      <c r="I512" s="24"/>
      <c r="J512" s="24"/>
      <c r="M512" s="48"/>
      <c r="N512" s="48"/>
      <c r="O512" s="48"/>
      <c r="P512" s="50"/>
    </row>
    <row r="513" ht="15.0" customHeight="1">
      <c r="B513" s="24"/>
      <c r="C513" s="24"/>
      <c r="D513" s="24"/>
      <c r="E513" s="24"/>
      <c r="F513" s="24"/>
      <c r="G513" s="24"/>
      <c r="H513" s="24"/>
      <c r="I513" s="24"/>
      <c r="J513" s="24"/>
      <c r="M513" s="48"/>
      <c r="N513" s="48"/>
      <c r="O513" s="48"/>
      <c r="P513" s="50"/>
    </row>
    <row r="514" ht="15.0" customHeight="1">
      <c r="B514" s="24"/>
      <c r="C514" s="24"/>
      <c r="D514" s="24"/>
      <c r="E514" s="24"/>
      <c r="F514" s="24"/>
      <c r="G514" s="24"/>
      <c r="H514" s="24"/>
      <c r="I514" s="24"/>
      <c r="J514" s="24"/>
      <c r="M514" s="48"/>
      <c r="N514" s="48"/>
      <c r="O514" s="48"/>
      <c r="P514" s="50"/>
    </row>
    <row r="515" ht="15.0" customHeight="1">
      <c r="B515" s="24"/>
      <c r="C515" s="24"/>
      <c r="D515" s="24"/>
      <c r="E515" s="24"/>
      <c r="F515" s="24"/>
      <c r="G515" s="24"/>
      <c r="H515" s="24"/>
      <c r="I515" s="24"/>
      <c r="J515" s="24"/>
      <c r="M515" s="48"/>
      <c r="N515" s="48"/>
      <c r="O515" s="48"/>
      <c r="P515" s="50"/>
    </row>
    <row r="516" ht="15.0" customHeight="1">
      <c r="B516" s="24"/>
      <c r="C516" s="24"/>
      <c r="D516" s="24"/>
      <c r="E516" s="24"/>
      <c r="F516" s="24"/>
      <c r="G516" s="24"/>
      <c r="H516" s="24"/>
      <c r="I516" s="24"/>
      <c r="J516" s="24"/>
      <c r="M516" s="48"/>
      <c r="N516" s="48"/>
      <c r="O516" s="48"/>
      <c r="P516" s="50"/>
    </row>
    <row r="517" ht="15.0" customHeight="1">
      <c r="B517" s="24"/>
      <c r="C517" s="24"/>
      <c r="D517" s="24"/>
      <c r="E517" s="24"/>
      <c r="F517" s="24"/>
      <c r="G517" s="24"/>
      <c r="H517" s="24"/>
      <c r="I517" s="24"/>
      <c r="J517" s="24"/>
      <c r="M517" s="48"/>
      <c r="N517" s="48"/>
      <c r="O517" s="48"/>
      <c r="P517" s="50"/>
    </row>
    <row r="518" ht="15.0" customHeight="1">
      <c r="B518" s="24"/>
      <c r="C518" s="24"/>
      <c r="D518" s="24"/>
      <c r="E518" s="24"/>
      <c r="F518" s="24"/>
      <c r="G518" s="24"/>
      <c r="H518" s="24"/>
      <c r="I518" s="24"/>
      <c r="J518" s="24"/>
      <c r="M518" s="48"/>
      <c r="N518" s="48"/>
      <c r="O518" s="48"/>
      <c r="P518" s="50"/>
    </row>
    <row r="519" ht="15.0" customHeight="1">
      <c r="B519" s="24"/>
      <c r="C519" s="24"/>
      <c r="D519" s="24"/>
      <c r="E519" s="24"/>
      <c r="F519" s="24"/>
      <c r="G519" s="24"/>
      <c r="H519" s="24"/>
      <c r="I519" s="24"/>
      <c r="J519" s="24"/>
      <c r="M519" s="48"/>
      <c r="N519" s="48"/>
      <c r="O519" s="48"/>
      <c r="P519" s="50"/>
    </row>
    <row r="520" ht="15.0" customHeight="1">
      <c r="B520" s="24"/>
      <c r="C520" s="24"/>
      <c r="D520" s="24"/>
      <c r="E520" s="24"/>
      <c r="F520" s="24"/>
      <c r="G520" s="24"/>
      <c r="H520" s="24"/>
      <c r="I520" s="24"/>
      <c r="J520" s="24"/>
      <c r="M520" s="48"/>
      <c r="N520" s="48"/>
      <c r="O520" s="48"/>
      <c r="P520" s="50"/>
    </row>
    <row r="521" ht="15.0" customHeight="1">
      <c r="B521" s="24"/>
      <c r="C521" s="24"/>
      <c r="D521" s="24"/>
      <c r="E521" s="24"/>
      <c r="F521" s="24"/>
      <c r="G521" s="24"/>
      <c r="H521" s="24"/>
      <c r="I521" s="24"/>
      <c r="J521" s="24"/>
      <c r="M521" s="48"/>
      <c r="N521" s="48"/>
      <c r="O521" s="48"/>
      <c r="P521" s="50"/>
    </row>
    <row r="522" ht="15.0" customHeight="1">
      <c r="B522" s="24"/>
      <c r="C522" s="24"/>
      <c r="D522" s="24"/>
      <c r="E522" s="24"/>
      <c r="F522" s="24"/>
      <c r="G522" s="24"/>
      <c r="H522" s="24"/>
      <c r="I522" s="24"/>
      <c r="J522" s="24"/>
      <c r="M522" s="48"/>
      <c r="N522" s="48"/>
      <c r="O522" s="48"/>
      <c r="P522" s="50"/>
    </row>
    <row r="523" ht="15.0" customHeight="1">
      <c r="B523" s="24"/>
      <c r="C523" s="24"/>
      <c r="D523" s="24"/>
      <c r="E523" s="24"/>
      <c r="F523" s="24"/>
      <c r="G523" s="24"/>
      <c r="H523" s="24"/>
      <c r="I523" s="24"/>
      <c r="J523" s="24"/>
      <c r="M523" s="48"/>
      <c r="N523" s="48"/>
      <c r="O523" s="48"/>
      <c r="P523" s="50"/>
    </row>
    <row r="524" ht="15.0" customHeight="1">
      <c r="B524" s="24"/>
      <c r="C524" s="24"/>
      <c r="D524" s="24"/>
      <c r="E524" s="24"/>
      <c r="F524" s="24"/>
      <c r="G524" s="24"/>
      <c r="H524" s="24"/>
      <c r="I524" s="24"/>
      <c r="J524" s="24"/>
      <c r="M524" s="48"/>
      <c r="N524" s="48"/>
      <c r="O524" s="48"/>
      <c r="P524" s="50"/>
    </row>
    <row r="525" ht="15.0" customHeight="1">
      <c r="B525" s="24"/>
      <c r="C525" s="24"/>
      <c r="D525" s="24"/>
      <c r="E525" s="24"/>
      <c r="F525" s="24"/>
      <c r="G525" s="24"/>
      <c r="H525" s="24"/>
      <c r="I525" s="24"/>
      <c r="J525" s="24"/>
      <c r="M525" s="48"/>
      <c r="N525" s="48"/>
      <c r="O525" s="48"/>
      <c r="P525" s="50"/>
    </row>
    <row r="526" ht="15.0" customHeight="1">
      <c r="B526" s="24"/>
      <c r="C526" s="24"/>
      <c r="D526" s="24"/>
      <c r="E526" s="24"/>
      <c r="F526" s="24"/>
      <c r="G526" s="24"/>
      <c r="H526" s="24"/>
      <c r="I526" s="24"/>
      <c r="J526" s="24"/>
      <c r="M526" s="48"/>
      <c r="N526" s="48"/>
      <c r="O526" s="48"/>
      <c r="P526" s="50"/>
    </row>
    <row r="527" ht="15.0" customHeight="1">
      <c r="B527" s="24"/>
      <c r="C527" s="24"/>
      <c r="D527" s="24"/>
      <c r="E527" s="24"/>
      <c r="F527" s="24"/>
      <c r="G527" s="24"/>
      <c r="H527" s="24"/>
      <c r="I527" s="24"/>
      <c r="J527" s="24"/>
      <c r="M527" s="48"/>
      <c r="N527" s="48"/>
      <c r="O527" s="48"/>
      <c r="P527" s="50"/>
    </row>
    <row r="528" ht="15.0" customHeight="1">
      <c r="B528" s="24"/>
      <c r="C528" s="24"/>
      <c r="D528" s="24"/>
      <c r="E528" s="24"/>
      <c r="F528" s="24"/>
      <c r="G528" s="24"/>
      <c r="H528" s="24"/>
      <c r="I528" s="24"/>
      <c r="J528" s="24"/>
      <c r="M528" s="48"/>
      <c r="N528" s="48"/>
      <c r="O528" s="48"/>
      <c r="P528" s="50"/>
    </row>
    <row r="529" ht="15.0" customHeight="1">
      <c r="B529" s="24"/>
      <c r="C529" s="24"/>
      <c r="D529" s="24"/>
      <c r="E529" s="24"/>
      <c r="F529" s="24"/>
      <c r="G529" s="24"/>
      <c r="H529" s="24"/>
      <c r="I529" s="24"/>
      <c r="J529" s="24"/>
      <c r="M529" s="48"/>
      <c r="N529" s="48"/>
      <c r="O529" s="48"/>
      <c r="P529" s="50"/>
    </row>
    <row r="530" ht="15.0" customHeight="1">
      <c r="B530" s="24"/>
      <c r="C530" s="24"/>
      <c r="D530" s="24"/>
      <c r="E530" s="24"/>
      <c r="F530" s="24"/>
      <c r="G530" s="24"/>
      <c r="H530" s="24"/>
      <c r="I530" s="24"/>
      <c r="J530" s="24"/>
      <c r="M530" s="48"/>
      <c r="N530" s="48"/>
      <c r="O530" s="48"/>
      <c r="P530" s="50"/>
    </row>
    <row r="531" ht="15.0" customHeight="1">
      <c r="B531" s="24"/>
      <c r="C531" s="24"/>
      <c r="D531" s="24"/>
      <c r="E531" s="24"/>
      <c r="F531" s="24"/>
      <c r="G531" s="24"/>
      <c r="H531" s="24"/>
      <c r="I531" s="24"/>
      <c r="J531" s="24"/>
      <c r="M531" s="48"/>
      <c r="N531" s="48"/>
      <c r="O531" s="48"/>
      <c r="P531" s="50"/>
    </row>
    <row r="532" ht="15.0" customHeight="1">
      <c r="B532" s="24"/>
      <c r="C532" s="24"/>
      <c r="D532" s="24"/>
      <c r="E532" s="24"/>
      <c r="F532" s="24"/>
      <c r="G532" s="24"/>
      <c r="H532" s="24"/>
      <c r="I532" s="24"/>
      <c r="J532" s="24"/>
      <c r="M532" s="48"/>
      <c r="N532" s="48"/>
      <c r="O532" s="48"/>
      <c r="P532" s="50"/>
    </row>
    <row r="533" ht="15.0" customHeight="1">
      <c r="B533" s="24"/>
      <c r="C533" s="24"/>
      <c r="D533" s="24"/>
      <c r="E533" s="24"/>
      <c r="F533" s="24"/>
      <c r="G533" s="24"/>
      <c r="H533" s="24"/>
      <c r="I533" s="24"/>
      <c r="J533" s="24"/>
      <c r="M533" s="48"/>
      <c r="N533" s="48"/>
      <c r="O533" s="48"/>
      <c r="P533" s="50"/>
    </row>
    <row r="534" ht="15.0" customHeight="1">
      <c r="B534" s="24"/>
      <c r="C534" s="24"/>
      <c r="D534" s="24"/>
      <c r="E534" s="24"/>
      <c r="F534" s="24"/>
      <c r="G534" s="24"/>
      <c r="H534" s="24"/>
      <c r="I534" s="24"/>
      <c r="J534" s="24"/>
      <c r="M534" s="48"/>
      <c r="N534" s="48"/>
      <c r="O534" s="48"/>
      <c r="P534" s="50"/>
    </row>
    <row r="535" ht="15.0" customHeight="1">
      <c r="B535" s="24"/>
      <c r="C535" s="24"/>
      <c r="D535" s="24"/>
      <c r="E535" s="24"/>
      <c r="F535" s="24"/>
      <c r="G535" s="24"/>
      <c r="H535" s="24"/>
      <c r="I535" s="24"/>
      <c r="J535" s="24"/>
      <c r="M535" s="48"/>
      <c r="N535" s="48"/>
      <c r="O535" s="48"/>
      <c r="P535" s="50"/>
    </row>
    <row r="536" ht="15.0" customHeight="1">
      <c r="B536" s="24"/>
      <c r="C536" s="24"/>
      <c r="D536" s="24"/>
      <c r="E536" s="24"/>
      <c r="F536" s="24"/>
      <c r="G536" s="24"/>
      <c r="H536" s="24"/>
      <c r="I536" s="24"/>
      <c r="J536" s="24"/>
      <c r="M536" s="48"/>
      <c r="N536" s="48"/>
      <c r="O536" s="48"/>
      <c r="P536" s="50"/>
    </row>
    <row r="537" ht="15.0" customHeight="1">
      <c r="B537" s="24"/>
      <c r="C537" s="24"/>
      <c r="D537" s="24"/>
      <c r="E537" s="24"/>
      <c r="F537" s="24"/>
      <c r="G537" s="24"/>
      <c r="H537" s="24"/>
      <c r="I537" s="24"/>
      <c r="J537" s="24"/>
      <c r="M537" s="48"/>
      <c r="N537" s="48"/>
      <c r="O537" s="48"/>
      <c r="P537" s="50"/>
    </row>
    <row r="538" ht="15.0" customHeight="1">
      <c r="B538" s="24"/>
      <c r="C538" s="24"/>
      <c r="D538" s="24"/>
      <c r="E538" s="24"/>
      <c r="F538" s="24"/>
      <c r="G538" s="24"/>
      <c r="H538" s="24"/>
      <c r="I538" s="24"/>
      <c r="J538" s="24"/>
      <c r="M538" s="48"/>
      <c r="N538" s="48"/>
      <c r="O538" s="48"/>
      <c r="P538" s="50"/>
    </row>
    <row r="539" ht="15.0" customHeight="1">
      <c r="B539" s="24"/>
      <c r="C539" s="24"/>
      <c r="D539" s="24"/>
      <c r="E539" s="24"/>
      <c r="F539" s="24"/>
      <c r="G539" s="24"/>
      <c r="H539" s="24"/>
      <c r="I539" s="24"/>
      <c r="J539" s="24"/>
      <c r="M539" s="48"/>
      <c r="N539" s="48"/>
      <c r="O539" s="48"/>
      <c r="P539" s="50"/>
    </row>
    <row r="540" ht="15.0" customHeight="1">
      <c r="B540" s="24"/>
      <c r="C540" s="24"/>
      <c r="D540" s="24"/>
      <c r="E540" s="24"/>
      <c r="F540" s="24"/>
      <c r="G540" s="24"/>
      <c r="H540" s="24"/>
      <c r="I540" s="24"/>
      <c r="J540" s="24"/>
      <c r="M540" s="48"/>
      <c r="N540" s="48"/>
      <c r="O540" s="48"/>
      <c r="P540" s="50"/>
    </row>
    <row r="541" ht="15.0" customHeight="1">
      <c r="B541" s="24"/>
      <c r="C541" s="24"/>
      <c r="D541" s="24"/>
      <c r="E541" s="24"/>
      <c r="F541" s="24"/>
      <c r="G541" s="24"/>
      <c r="H541" s="24"/>
      <c r="I541" s="24"/>
      <c r="J541" s="24"/>
      <c r="M541" s="48"/>
      <c r="N541" s="48"/>
      <c r="O541" s="48"/>
      <c r="P541" s="50"/>
    </row>
    <row r="542" ht="15.0" customHeight="1">
      <c r="B542" s="24"/>
      <c r="C542" s="24"/>
      <c r="D542" s="24"/>
      <c r="E542" s="24"/>
      <c r="F542" s="24"/>
      <c r="G542" s="24"/>
      <c r="H542" s="24"/>
      <c r="I542" s="24"/>
      <c r="J542" s="24"/>
      <c r="M542" s="48"/>
      <c r="N542" s="48"/>
      <c r="O542" s="48"/>
      <c r="P542" s="50"/>
    </row>
    <row r="543" ht="15.0" customHeight="1">
      <c r="B543" s="24"/>
      <c r="C543" s="24"/>
      <c r="D543" s="24"/>
      <c r="E543" s="24"/>
      <c r="F543" s="24"/>
      <c r="G543" s="24"/>
      <c r="H543" s="24"/>
      <c r="I543" s="24"/>
      <c r="J543" s="24"/>
      <c r="M543" s="48"/>
      <c r="N543" s="48"/>
      <c r="O543" s="48"/>
      <c r="P543" s="50"/>
    </row>
    <row r="544" ht="15.0" customHeight="1">
      <c r="B544" s="24"/>
      <c r="C544" s="24"/>
      <c r="D544" s="24"/>
      <c r="E544" s="24"/>
      <c r="F544" s="24"/>
      <c r="G544" s="24"/>
      <c r="H544" s="24"/>
      <c r="I544" s="24"/>
      <c r="J544" s="24"/>
      <c r="M544" s="48"/>
      <c r="N544" s="48"/>
      <c r="O544" s="48"/>
      <c r="P544" s="50"/>
    </row>
    <row r="545" ht="15.0" customHeight="1">
      <c r="B545" s="24"/>
      <c r="C545" s="24"/>
      <c r="D545" s="24"/>
      <c r="E545" s="24"/>
      <c r="F545" s="24"/>
      <c r="G545" s="24"/>
      <c r="H545" s="24"/>
      <c r="I545" s="24"/>
      <c r="J545" s="24"/>
      <c r="M545" s="48"/>
      <c r="N545" s="48"/>
      <c r="O545" s="48"/>
      <c r="P545" s="50"/>
    </row>
    <row r="546" ht="15.0" customHeight="1">
      <c r="B546" s="24"/>
      <c r="C546" s="24"/>
      <c r="D546" s="24"/>
      <c r="E546" s="24"/>
      <c r="F546" s="24"/>
      <c r="G546" s="24"/>
      <c r="H546" s="24"/>
      <c r="I546" s="24"/>
      <c r="J546" s="24"/>
      <c r="M546" s="48"/>
      <c r="N546" s="48"/>
      <c r="O546" s="48"/>
      <c r="P546" s="50"/>
    </row>
    <row r="547" ht="15.0" customHeight="1">
      <c r="B547" s="24"/>
      <c r="C547" s="24"/>
      <c r="D547" s="24"/>
      <c r="E547" s="24"/>
      <c r="F547" s="24"/>
      <c r="G547" s="24"/>
      <c r="H547" s="24"/>
      <c r="I547" s="24"/>
      <c r="J547" s="24"/>
      <c r="M547" s="48"/>
      <c r="N547" s="48"/>
      <c r="O547" s="48"/>
      <c r="P547" s="50"/>
    </row>
    <row r="548" ht="15.0" customHeight="1">
      <c r="B548" s="24"/>
      <c r="C548" s="24"/>
      <c r="D548" s="24"/>
      <c r="E548" s="24"/>
      <c r="F548" s="24"/>
      <c r="G548" s="24"/>
      <c r="H548" s="24"/>
      <c r="I548" s="24"/>
      <c r="J548" s="24"/>
      <c r="M548" s="48"/>
      <c r="N548" s="48"/>
      <c r="O548" s="48"/>
      <c r="P548" s="50"/>
    </row>
    <row r="549" ht="15.0" customHeight="1">
      <c r="B549" s="24"/>
      <c r="C549" s="24"/>
      <c r="D549" s="24"/>
      <c r="E549" s="24"/>
      <c r="F549" s="24"/>
      <c r="G549" s="24"/>
      <c r="H549" s="24"/>
      <c r="I549" s="24"/>
      <c r="J549" s="24"/>
      <c r="M549" s="48"/>
      <c r="N549" s="48"/>
      <c r="O549" s="48"/>
      <c r="P549" s="50"/>
    </row>
    <row r="550" ht="15.0" customHeight="1">
      <c r="B550" s="24"/>
      <c r="C550" s="24"/>
      <c r="D550" s="24"/>
      <c r="E550" s="24"/>
      <c r="F550" s="24"/>
      <c r="G550" s="24"/>
      <c r="H550" s="24"/>
      <c r="I550" s="24"/>
      <c r="J550" s="24"/>
      <c r="M550" s="48"/>
      <c r="N550" s="48"/>
      <c r="O550" s="48"/>
      <c r="P550" s="50"/>
    </row>
    <row r="551" ht="15.0" customHeight="1">
      <c r="B551" s="24"/>
      <c r="C551" s="24"/>
      <c r="D551" s="24"/>
      <c r="E551" s="24"/>
      <c r="F551" s="24"/>
      <c r="G551" s="24"/>
      <c r="H551" s="24"/>
      <c r="I551" s="24"/>
      <c r="J551" s="24"/>
      <c r="M551" s="48"/>
      <c r="N551" s="48"/>
      <c r="O551" s="48"/>
      <c r="P551" s="50"/>
    </row>
    <row r="552" ht="15.0" customHeight="1">
      <c r="B552" s="24"/>
      <c r="C552" s="24"/>
      <c r="D552" s="24"/>
      <c r="E552" s="24"/>
      <c r="F552" s="24"/>
      <c r="G552" s="24"/>
      <c r="H552" s="24"/>
      <c r="I552" s="24"/>
      <c r="J552" s="24"/>
      <c r="M552" s="48"/>
      <c r="N552" s="48"/>
      <c r="O552" s="48"/>
      <c r="P552" s="50"/>
    </row>
    <row r="553" ht="15.0" customHeight="1">
      <c r="B553" s="24"/>
      <c r="C553" s="24"/>
      <c r="D553" s="24"/>
      <c r="E553" s="24"/>
      <c r="F553" s="24"/>
      <c r="G553" s="24"/>
      <c r="H553" s="24"/>
      <c r="I553" s="24"/>
      <c r="J553" s="24"/>
      <c r="M553" s="48"/>
      <c r="N553" s="48"/>
      <c r="O553" s="48"/>
      <c r="P553" s="50"/>
    </row>
    <row r="554" ht="15.0" customHeight="1">
      <c r="B554" s="24"/>
      <c r="C554" s="24"/>
      <c r="D554" s="24"/>
      <c r="E554" s="24"/>
      <c r="F554" s="24"/>
      <c r="G554" s="24"/>
      <c r="H554" s="24"/>
      <c r="I554" s="24"/>
      <c r="J554" s="24"/>
      <c r="M554" s="48"/>
      <c r="N554" s="48"/>
      <c r="O554" s="48"/>
      <c r="P554" s="50"/>
    </row>
    <row r="555" ht="15.0" customHeight="1">
      <c r="B555" s="24"/>
      <c r="C555" s="24"/>
      <c r="D555" s="24"/>
      <c r="E555" s="24"/>
      <c r="F555" s="24"/>
      <c r="G555" s="24"/>
      <c r="H555" s="24"/>
      <c r="I555" s="24"/>
      <c r="J555" s="24"/>
      <c r="M555" s="48"/>
      <c r="N555" s="48"/>
      <c r="O555" s="48"/>
      <c r="P555" s="50"/>
    </row>
    <row r="556" ht="15.0" customHeight="1">
      <c r="B556" s="24"/>
      <c r="C556" s="24"/>
      <c r="D556" s="24"/>
      <c r="E556" s="24"/>
      <c r="F556" s="24"/>
      <c r="G556" s="24"/>
      <c r="H556" s="24"/>
      <c r="I556" s="24"/>
      <c r="J556" s="24"/>
      <c r="M556" s="48"/>
      <c r="N556" s="48"/>
      <c r="O556" s="48"/>
      <c r="P556" s="50"/>
    </row>
    <row r="557" ht="15.0" customHeight="1">
      <c r="B557" s="24"/>
      <c r="C557" s="24"/>
      <c r="D557" s="24"/>
      <c r="E557" s="24"/>
      <c r="F557" s="24"/>
      <c r="G557" s="24"/>
      <c r="H557" s="24"/>
      <c r="I557" s="24"/>
      <c r="J557" s="24"/>
      <c r="M557" s="48"/>
      <c r="N557" s="48"/>
      <c r="O557" s="48"/>
      <c r="P557" s="50"/>
    </row>
    <row r="558" ht="15.0" customHeight="1">
      <c r="B558" s="24"/>
      <c r="C558" s="24"/>
      <c r="D558" s="24"/>
      <c r="E558" s="24"/>
      <c r="F558" s="24"/>
      <c r="G558" s="24"/>
      <c r="H558" s="24"/>
      <c r="I558" s="24"/>
      <c r="J558" s="24"/>
      <c r="M558" s="48"/>
      <c r="N558" s="48"/>
      <c r="O558" s="48"/>
      <c r="P558" s="50"/>
    </row>
    <row r="559" ht="15.0" customHeight="1">
      <c r="B559" s="24"/>
      <c r="C559" s="24"/>
      <c r="D559" s="24"/>
      <c r="E559" s="24"/>
      <c r="F559" s="24"/>
      <c r="G559" s="24"/>
      <c r="H559" s="24"/>
      <c r="I559" s="24"/>
      <c r="J559" s="24"/>
      <c r="M559" s="48"/>
      <c r="N559" s="48"/>
      <c r="O559" s="48"/>
      <c r="P559" s="50"/>
    </row>
    <row r="560" ht="15.0" customHeight="1">
      <c r="B560" s="24"/>
      <c r="C560" s="24"/>
      <c r="D560" s="24"/>
      <c r="E560" s="24"/>
      <c r="F560" s="24"/>
      <c r="G560" s="24"/>
      <c r="H560" s="24"/>
      <c r="I560" s="24"/>
      <c r="J560" s="24"/>
      <c r="M560" s="48"/>
      <c r="N560" s="48"/>
      <c r="O560" s="48"/>
      <c r="P560" s="50"/>
    </row>
    <row r="561" ht="15.0" customHeight="1">
      <c r="B561" s="24"/>
      <c r="C561" s="24"/>
      <c r="D561" s="24"/>
      <c r="E561" s="24"/>
      <c r="F561" s="24"/>
      <c r="G561" s="24"/>
      <c r="H561" s="24"/>
      <c r="I561" s="24"/>
      <c r="J561" s="24"/>
      <c r="M561" s="48"/>
      <c r="N561" s="48"/>
      <c r="O561" s="48"/>
      <c r="P561" s="50"/>
    </row>
    <row r="562" ht="15.0" customHeight="1">
      <c r="B562" s="24"/>
      <c r="C562" s="24"/>
      <c r="D562" s="24"/>
      <c r="E562" s="24"/>
      <c r="F562" s="24"/>
      <c r="G562" s="24"/>
      <c r="H562" s="24"/>
      <c r="I562" s="24"/>
      <c r="J562" s="24"/>
      <c r="M562" s="48"/>
      <c r="N562" s="48"/>
      <c r="O562" s="48"/>
      <c r="P562" s="50"/>
    </row>
    <row r="563" ht="15.0" customHeight="1">
      <c r="B563" s="24"/>
      <c r="C563" s="24"/>
      <c r="D563" s="24"/>
      <c r="E563" s="24"/>
      <c r="F563" s="24"/>
      <c r="G563" s="24"/>
      <c r="H563" s="24"/>
      <c r="I563" s="24"/>
      <c r="J563" s="24"/>
      <c r="M563" s="48"/>
      <c r="N563" s="48"/>
      <c r="O563" s="48"/>
      <c r="P563" s="50"/>
    </row>
    <row r="564" ht="15.0" customHeight="1">
      <c r="B564" s="24"/>
      <c r="C564" s="24"/>
      <c r="D564" s="24"/>
      <c r="E564" s="24"/>
      <c r="F564" s="24"/>
      <c r="G564" s="24"/>
      <c r="H564" s="24"/>
      <c r="I564" s="24"/>
      <c r="J564" s="24"/>
      <c r="M564" s="48"/>
      <c r="N564" s="48"/>
      <c r="O564" s="48"/>
      <c r="P564" s="50"/>
    </row>
    <row r="565" ht="15.0" customHeight="1">
      <c r="B565" s="24"/>
      <c r="C565" s="24"/>
      <c r="D565" s="24"/>
      <c r="E565" s="24"/>
      <c r="F565" s="24"/>
      <c r="G565" s="24"/>
      <c r="H565" s="24"/>
      <c r="I565" s="24"/>
      <c r="J565" s="24"/>
      <c r="M565" s="48"/>
      <c r="N565" s="48"/>
      <c r="O565" s="48"/>
      <c r="P565" s="50"/>
    </row>
    <row r="566" ht="15.0" customHeight="1">
      <c r="B566" s="24"/>
      <c r="C566" s="24"/>
      <c r="D566" s="24"/>
      <c r="E566" s="24"/>
      <c r="F566" s="24"/>
      <c r="G566" s="24"/>
      <c r="H566" s="24"/>
      <c r="I566" s="24"/>
      <c r="J566" s="24"/>
      <c r="M566" s="48"/>
      <c r="N566" s="48"/>
      <c r="O566" s="48"/>
      <c r="P566" s="50"/>
    </row>
    <row r="567" ht="15.0" customHeight="1">
      <c r="B567" s="24"/>
      <c r="C567" s="24"/>
      <c r="D567" s="24"/>
      <c r="E567" s="24"/>
      <c r="F567" s="24"/>
      <c r="G567" s="24"/>
      <c r="H567" s="24"/>
      <c r="I567" s="24"/>
      <c r="J567" s="24"/>
      <c r="M567" s="48"/>
      <c r="N567" s="48"/>
      <c r="O567" s="48"/>
      <c r="P567" s="50"/>
    </row>
    <row r="568" ht="15.0" customHeight="1">
      <c r="B568" s="24"/>
      <c r="C568" s="24"/>
      <c r="D568" s="24"/>
      <c r="E568" s="24"/>
      <c r="F568" s="24"/>
      <c r="G568" s="24"/>
      <c r="H568" s="24"/>
      <c r="I568" s="24"/>
      <c r="J568" s="24"/>
      <c r="M568" s="48"/>
      <c r="N568" s="48"/>
      <c r="O568" s="48"/>
      <c r="P568" s="50"/>
    </row>
    <row r="569" ht="15.0" customHeight="1">
      <c r="B569" s="24"/>
      <c r="C569" s="24"/>
      <c r="D569" s="24"/>
      <c r="E569" s="24"/>
      <c r="F569" s="24"/>
      <c r="G569" s="24"/>
      <c r="H569" s="24"/>
      <c r="I569" s="24"/>
      <c r="J569" s="24"/>
      <c r="M569" s="48"/>
      <c r="N569" s="48"/>
      <c r="O569" s="48"/>
      <c r="P569" s="50"/>
    </row>
    <row r="570" ht="15.0" customHeight="1">
      <c r="B570" s="24"/>
      <c r="C570" s="24"/>
      <c r="D570" s="24"/>
      <c r="E570" s="24"/>
      <c r="F570" s="24"/>
      <c r="G570" s="24"/>
      <c r="H570" s="24"/>
      <c r="I570" s="24"/>
      <c r="J570" s="24"/>
      <c r="M570" s="48"/>
      <c r="N570" s="48"/>
      <c r="O570" s="48"/>
      <c r="P570" s="50"/>
    </row>
    <row r="571" ht="15.0" customHeight="1">
      <c r="B571" s="24"/>
      <c r="C571" s="24"/>
      <c r="D571" s="24"/>
      <c r="E571" s="24"/>
      <c r="F571" s="24"/>
      <c r="G571" s="24"/>
      <c r="H571" s="24"/>
      <c r="I571" s="24"/>
      <c r="J571" s="24"/>
      <c r="M571" s="48"/>
      <c r="N571" s="48"/>
      <c r="O571" s="48"/>
      <c r="P571" s="50"/>
    </row>
    <row r="572" ht="15.0" customHeight="1">
      <c r="B572" s="24"/>
      <c r="C572" s="24"/>
      <c r="D572" s="24"/>
      <c r="E572" s="24"/>
      <c r="F572" s="24"/>
      <c r="G572" s="24"/>
      <c r="H572" s="24"/>
      <c r="I572" s="24"/>
      <c r="J572" s="24"/>
      <c r="M572" s="48"/>
      <c r="N572" s="48"/>
      <c r="O572" s="48"/>
      <c r="P572" s="50"/>
    </row>
    <row r="573" ht="15.0" customHeight="1">
      <c r="B573" s="24"/>
      <c r="C573" s="24"/>
      <c r="D573" s="24"/>
      <c r="E573" s="24"/>
      <c r="F573" s="24"/>
      <c r="G573" s="24"/>
      <c r="H573" s="24"/>
      <c r="I573" s="24"/>
      <c r="J573" s="24"/>
      <c r="M573" s="48"/>
      <c r="N573" s="48"/>
      <c r="O573" s="48"/>
      <c r="P573" s="50"/>
    </row>
    <row r="574" ht="15.0" customHeight="1">
      <c r="B574" s="24"/>
      <c r="C574" s="24"/>
      <c r="D574" s="24"/>
      <c r="E574" s="24"/>
      <c r="F574" s="24"/>
      <c r="G574" s="24"/>
      <c r="H574" s="24"/>
      <c r="I574" s="24"/>
      <c r="J574" s="24"/>
      <c r="M574" s="48"/>
      <c r="N574" s="48"/>
      <c r="O574" s="48"/>
      <c r="P574" s="50"/>
    </row>
    <row r="575" ht="15.0" customHeight="1">
      <c r="B575" s="24"/>
      <c r="C575" s="24"/>
      <c r="D575" s="24"/>
      <c r="E575" s="24"/>
      <c r="F575" s="24"/>
      <c r="G575" s="24"/>
      <c r="H575" s="24"/>
      <c r="I575" s="24"/>
      <c r="J575" s="24"/>
      <c r="M575" s="48"/>
      <c r="N575" s="48"/>
      <c r="O575" s="48"/>
      <c r="P575" s="50"/>
    </row>
    <row r="576" ht="15.0" customHeight="1">
      <c r="B576" s="24"/>
      <c r="C576" s="24"/>
      <c r="D576" s="24"/>
      <c r="E576" s="24"/>
      <c r="F576" s="24"/>
      <c r="G576" s="24"/>
      <c r="H576" s="24"/>
      <c r="I576" s="24"/>
      <c r="J576" s="24"/>
      <c r="M576" s="48"/>
      <c r="N576" s="48"/>
      <c r="O576" s="48"/>
      <c r="P576" s="50"/>
    </row>
    <row r="577" ht="15.0" customHeight="1">
      <c r="B577" s="24"/>
      <c r="C577" s="24"/>
      <c r="D577" s="24"/>
      <c r="E577" s="24"/>
      <c r="F577" s="24"/>
      <c r="G577" s="24"/>
      <c r="H577" s="24"/>
      <c r="I577" s="24"/>
      <c r="J577" s="24"/>
      <c r="M577" s="48"/>
      <c r="N577" s="48"/>
      <c r="O577" s="48"/>
      <c r="P577" s="50"/>
    </row>
    <row r="578" ht="15.0" customHeight="1">
      <c r="B578" s="24"/>
      <c r="C578" s="24"/>
      <c r="D578" s="24"/>
      <c r="E578" s="24"/>
      <c r="F578" s="24"/>
      <c r="G578" s="24"/>
      <c r="H578" s="24"/>
      <c r="I578" s="24"/>
      <c r="J578" s="24"/>
      <c r="M578" s="48"/>
      <c r="N578" s="48"/>
      <c r="O578" s="48"/>
      <c r="P578" s="50"/>
    </row>
    <row r="579" ht="15.0" customHeight="1">
      <c r="B579" s="24"/>
      <c r="C579" s="24"/>
      <c r="D579" s="24"/>
      <c r="E579" s="24"/>
      <c r="F579" s="24"/>
      <c r="G579" s="24"/>
      <c r="H579" s="24"/>
      <c r="I579" s="24"/>
      <c r="J579" s="24"/>
      <c r="M579" s="48"/>
      <c r="N579" s="48"/>
      <c r="O579" s="48"/>
      <c r="P579" s="50"/>
    </row>
    <row r="580" ht="15.0" customHeight="1">
      <c r="B580" s="24"/>
      <c r="C580" s="24"/>
      <c r="D580" s="24"/>
      <c r="E580" s="24"/>
      <c r="F580" s="24"/>
      <c r="G580" s="24"/>
      <c r="H580" s="24"/>
      <c r="I580" s="24"/>
      <c r="J580" s="24"/>
      <c r="M580" s="48"/>
      <c r="N580" s="48"/>
      <c r="O580" s="48"/>
      <c r="P580" s="50"/>
    </row>
    <row r="581" ht="15.0" customHeight="1">
      <c r="B581" s="24"/>
      <c r="C581" s="24"/>
      <c r="D581" s="24"/>
      <c r="E581" s="24"/>
      <c r="F581" s="24"/>
      <c r="G581" s="24"/>
      <c r="H581" s="24"/>
      <c r="I581" s="24"/>
      <c r="J581" s="24"/>
      <c r="M581" s="48"/>
      <c r="N581" s="48"/>
      <c r="O581" s="48"/>
      <c r="P581" s="50"/>
    </row>
    <row r="582" ht="15.0" customHeight="1">
      <c r="B582" s="24"/>
      <c r="C582" s="24"/>
      <c r="D582" s="24"/>
      <c r="E582" s="24"/>
      <c r="F582" s="24"/>
      <c r="G582" s="24"/>
      <c r="H582" s="24"/>
      <c r="I582" s="24"/>
      <c r="J582" s="24"/>
      <c r="M582" s="48"/>
      <c r="N582" s="48"/>
      <c r="O582" s="48"/>
      <c r="P582" s="50"/>
    </row>
    <row r="583" ht="15.0" customHeight="1">
      <c r="B583" s="24"/>
      <c r="C583" s="24"/>
      <c r="D583" s="24"/>
      <c r="E583" s="24"/>
      <c r="F583" s="24"/>
      <c r="G583" s="24"/>
      <c r="H583" s="24"/>
      <c r="I583" s="24"/>
      <c r="J583" s="24"/>
      <c r="M583" s="48"/>
      <c r="N583" s="48"/>
      <c r="O583" s="48"/>
      <c r="P583" s="50"/>
    </row>
    <row r="584" ht="15.0" customHeight="1">
      <c r="B584" s="24"/>
      <c r="C584" s="24"/>
      <c r="D584" s="24"/>
      <c r="E584" s="24"/>
      <c r="F584" s="24"/>
      <c r="G584" s="24"/>
      <c r="H584" s="24"/>
      <c r="I584" s="24"/>
      <c r="J584" s="24"/>
      <c r="M584" s="48"/>
      <c r="N584" s="48"/>
      <c r="O584" s="48"/>
      <c r="P584" s="50"/>
    </row>
    <row r="585" ht="15.0" customHeight="1">
      <c r="B585" s="24"/>
      <c r="C585" s="24"/>
      <c r="D585" s="24"/>
      <c r="E585" s="24"/>
      <c r="F585" s="24"/>
      <c r="G585" s="24"/>
      <c r="H585" s="24"/>
      <c r="I585" s="24"/>
      <c r="J585" s="24"/>
      <c r="M585" s="48"/>
      <c r="N585" s="48"/>
      <c r="O585" s="48"/>
      <c r="P585" s="50"/>
    </row>
    <row r="586" ht="15.0" customHeight="1">
      <c r="B586" s="24"/>
      <c r="C586" s="24"/>
      <c r="D586" s="24"/>
      <c r="E586" s="24"/>
      <c r="F586" s="24"/>
      <c r="G586" s="24"/>
      <c r="H586" s="24"/>
      <c r="I586" s="24"/>
      <c r="J586" s="24"/>
      <c r="M586" s="48"/>
      <c r="N586" s="48"/>
      <c r="O586" s="48"/>
      <c r="P586" s="50"/>
    </row>
    <row r="587" ht="15.0" customHeight="1">
      <c r="B587" s="24"/>
      <c r="C587" s="24"/>
      <c r="D587" s="24"/>
      <c r="E587" s="24"/>
      <c r="F587" s="24"/>
      <c r="G587" s="24"/>
      <c r="H587" s="24"/>
      <c r="I587" s="24"/>
      <c r="J587" s="24"/>
      <c r="M587" s="48"/>
      <c r="N587" s="48"/>
      <c r="O587" s="48"/>
      <c r="P587" s="50"/>
    </row>
    <row r="588" ht="15.0" customHeight="1">
      <c r="B588" s="24"/>
      <c r="C588" s="24"/>
      <c r="D588" s="24"/>
      <c r="E588" s="24"/>
      <c r="F588" s="24"/>
      <c r="G588" s="24"/>
      <c r="H588" s="24"/>
      <c r="I588" s="24"/>
      <c r="J588" s="24"/>
      <c r="M588" s="48"/>
      <c r="N588" s="48"/>
      <c r="O588" s="48"/>
      <c r="P588" s="50"/>
    </row>
    <row r="589" ht="15.0" customHeight="1">
      <c r="B589" s="24"/>
      <c r="C589" s="24"/>
      <c r="D589" s="24"/>
      <c r="E589" s="24"/>
      <c r="F589" s="24"/>
      <c r="G589" s="24"/>
      <c r="H589" s="24"/>
      <c r="I589" s="24"/>
      <c r="J589" s="24"/>
      <c r="M589" s="48"/>
      <c r="N589" s="48"/>
      <c r="O589" s="48"/>
      <c r="P589" s="50"/>
    </row>
    <row r="590" ht="15.0" customHeight="1">
      <c r="B590" s="24"/>
      <c r="C590" s="24"/>
      <c r="D590" s="24"/>
      <c r="E590" s="24"/>
      <c r="F590" s="24"/>
      <c r="G590" s="24"/>
      <c r="H590" s="24"/>
      <c r="I590" s="24"/>
      <c r="J590" s="24"/>
      <c r="M590" s="48"/>
      <c r="N590" s="48"/>
      <c r="O590" s="48"/>
      <c r="P590" s="50"/>
    </row>
    <row r="591" ht="15.0" customHeight="1">
      <c r="B591" s="24"/>
      <c r="C591" s="24"/>
      <c r="D591" s="24"/>
      <c r="E591" s="24"/>
      <c r="F591" s="24"/>
      <c r="G591" s="24"/>
      <c r="H591" s="24"/>
      <c r="I591" s="24"/>
      <c r="J591" s="24"/>
      <c r="M591" s="48"/>
      <c r="N591" s="48"/>
      <c r="O591" s="48"/>
      <c r="P591" s="50"/>
    </row>
    <row r="592" ht="15.0" customHeight="1">
      <c r="B592" s="24"/>
      <c r="C592" s="24"/>
      <c r="D592" s="24"/>
      <c r="E592" s="24"/>
      <c r="F592" s="24"/>
      <c r="G592" s="24"/>
      <c r="H592" s="24"/>
      <c r="I592" s="24"/>
      <c r="J592" s="24"/>
      <c r="M592" s="48"/>
      <c r="N592" s="48"/>
      <c r="O592" s="48"/>
      <c r="P592" s="50"/>
    </row>
    <row r="593" ht="15.0" customHeight="1">
      <c r="B593" s="24"/>
      <c r="C593" s="24"/>
      <c r="D593" s="24"/>
      <c r="E593" s="24"/>
      <c r="F593" s="24"/>
      <c r="G593" s="24"/>
      <c r="H593" s="24"/>
      <c r="I593" s="24"/>
      <c r="J593" s="24"/>
      <c r="M593" s="48"/>
      <c r="N593" s="48"/>
      <c r="O593" s="48"/>
      <c r="P593" s="50"/>
    </row>
    <row r="594" ht="15.0" customHeight="1">
      <c r="B594" s="24"/>
      <c r="C594" s="24"/>
      <c r="D594" s="24"/>
      <c r="E594" s="24"/>
      <c r="F594" s="24"/>
      <c r="G594" s="24"/>
      <c r="H594" s="24"/>
      <c r="I594" s="24"/>
      <c r="J594" s="24"/>
      <c r="M594" s="48"/>
      <c r="N594" s="48"/>
      <c r="O594" s="48"/>
      <c r="P594" s="50"/>
    </row>
    <row r="595" ht="15.0" customHeight="1">
      <c r="B595" s="24"/>
      <c r="C595" s="24"/>
      <c r="D595" s="24"/>
      <c r="E595" s="24"/>
      <c r="F595" s="24"/>
      <c r="G595" s="24"/>
      <c r="H595" s="24"/>
      <c r="I595" s="24"/>
      <c r="J595" s="24"/>
      <c r="M595" s="48"/>
      <c r="N595" s="48"/>
      <c r="O595" s="48"/>
      <c r="P595" s="50"/>
    </row>
    <row r="596" ht="15.0" customHeight="1">
      <c r="B596" s="24"/>
      <c r="C596" s="24"/>
      <c r="D596" s="24"/>
      <c r="E596" s="24"/>
      <c r="F596" s="24"/>
      <c r="G596" s="24"/>
      <c r="H596" s="24"/>
      <c r="I596" s="24"/>
      <c r="J596" s="24"/>
      <c r="M596" s="48"/>
      <c r="N596" s="48"/>
      <c r="O596" s="48"/>
      <c r="P596" s="50"/>
    </row>
    <row r="597" ht="15.0" customHeight="1">
      <c r="B597" s="24"/>
      <c r="C597" s="24"/>
      <c r="D597" s="24"/>
      <c r="E597" s="24"/>
      <c r="F597" s="24"/>
      <c r="G597" s="24"/>
      <c r="H597" s="24"/>
      <c r="I597" s="24"/>
      <c r="J597" s="24"/>
      <c r="M597" s="48"/>
      <c r="N597" s="48"/>
      <c r="O597" s="48"/>
      <c r="P597" s="50"/>
    </row>
    <row r="598" ht="15.0" customHeight="1">
      <c r="B598" s="24"/>
      <c r="C598" s="24"/>
      <c r="D598" s="24"/>
      <c r="E598" s="24"/>
      <c r="F598" s="24"/>
      <c r="G598" s="24"/>
      <c r="H598" s="24"/>
      <c r="I598" s="24"/>
      <c r="J598" s="24"/>
      <c r="M598" s="48"/>
      <c r="N598" s="48"/>
      <c r="O598" s="48"/>
      <c r="P598" s="50"/>
    </row>
    <row r="599" ht="15.0" customHeight="1">
      <c r="B599" s="24"/>
      <c r="C599" s="24"/>
      <c r="D599" s="24"/>
      <c r="E599" s="24"/>
      <c r="F599" s="24"/>
      <c r="G599" s="24"/>
      <c r="H599" s="24"/>
      <c r="I599" s="24"/>
      <c r="J599" s="24"/>
      <c r="M599" s="48"/>
      <c r="N599" s="48"/>
      <c r="O599" s="48"/>
      <c r="P599" s="50"/>
    </row>
    <row r="600" ht="15.0" customHeight="1">
      <c r="B600" s="24"/>
      <c r="C600" s="24"/>
      <c r="D600" s="24"/>
      <c r="E600" s="24"/>
      <c r="F600" s="24"/>
      <c r="G600" s="24"/>
      <c r="H600" s="24"/>
      <c r="I600" s="24"/>
      <c r="J600" s="24"/>
      <c r="M600" s="48"/>
      <c r="N600" s="48"/>
      <c r="O600" s="48"/>
      <c r="P600" s="50"/>
    </row>
    <row r="601" ht="15.0" customHeight="1">
      <c r="B601" s="24"/>
      <c r="C601" s="24"/>
      <c r="D601" s="24"/>
      <c r="E601" s="24"/>
      <c r="F601" s="24"/>
      <c r="G601" s="24"/>
      <c r="H601" s="24"/>
      <c r="I601" s="24"/>
      <c r="J601" s="24"/>
      <c r="M601" s="48"/>
      <c r="N601" s="48"/>
      <c r="O601" s="48"/>
      <c r="P601" s="50"/>
    </row>
    <row r="602" ht="15.0" customHeight="1">
      <c r="B602" s="24"/>
      <c r="C602" s="24"/>
      <c r="D602" s="24"/>
      <c r="E602" s="24"/>
      <c r="F602" s="24"/>
      <c r="G602" s="24"/>
      <c r="H602" s="24"/>
      <c r="I602" s="24"/>
      <c r="J602" s="24"/>
      <c r="M602" s="48"/>
      <c r="N602" s="48"/>
      <c r="O602" s="48"/>
      <c r="P602" s="50"/>
    </row>
    <row r="603" ht="15.0" customHeight="1">
      <c r="B603" s="24"/>
      <c r="C603" s="24"/>
      <c r="D603" s="24"/>
      <c r="E603" s="24"/>
      <c r="F603" s="24"/>
      <c r="G603" s="24"/>
      <c r="H603" s="24"/>
      <c r="I603" s="24"/>
      <c r="J603" s="24"/>
      <c r="M603" s="48"/>
      <c r="N603" s="48"/>
      <c r="O603" s="48"/>
      <c r="P603" s="50"/>
    </row>
    <row r="604" ht="15.0" customHeight="1">
      <c r="B604" s="24"/>
      <c r="C604" s="24"/>
      <c r="D604" s="24"/>
      <c r="E604" s="24"/>
      <c r="F604" s="24"/>
      <c r="G604" s="24"/>
      <c r="H604" s="24"/>
      <c r="I604" s="24"/>
      <c r="J604" s="24"/>
      <c r="M604" s="48"/>
      <c r="N604" s="48"/>
      <c r="O604" s="48"/>
      <c r="P604" s="50"/>
    </row>
    <row r="605" ht="15.0" customHeight="1">
      <c r="B605" s="24"/>
      <c r="C605" s="24"/>
      <c r="D605" s="24"/>
      <c r="E605" s="24"/>
      <c r="F605" s="24"/>
      <c r="G605" s="24"/>
      <c r="H605" s="24"/>
      <c r="I605" s="24"/>
      <c r="J605" s="24"/>
      <c r="M605" s="48"/>
      <c r="N605" s="48"/>
      <c r="O605" s="48"/>
      <c r="P605" s="50"/>
    </row>
    <row r="606" ht="15.0" customHeight="1">
      <c r="B606" s="24"/>
      <c r="C606" s="24"/>
      <c r="D606" s="24"/>
      <c r="E606" s="24"/>
      <c r="F606" s="24"/>
      <c r="G606" s="24"/>
      <c r="H606" s="24"/>
      <c r="I606" s="24"/>
      <c r="J606" s="24"/>
      <c r="M606" s="48"/>
      <c r="N606" s="48"/>
      <c r="O606" s="48"/>
      <c r="P606" s="50"/>
    </row>
    <row r="607" ht="15.0" customHeight="1">
      <c r="B607" s="24"/>
      <c r="C607" s="24"/>
      <c r="D607" s="24"/>
      <c r="E607" s="24"/>
      <c r="F607" s="24"/>
      <c r="G607" s="24"/>
      <c r="H607" s="24"/>
      <c r="I607" s="24"/>
      <c r="J607" s="24"/>
      <c r="M607" s="48"/>
      <c r="N607" s="48"/>
      <c r="O607" s="48"/>
      <c r="P607" s="50"/>
    </row>
    <row r="608" ht="15.0" customHeight="1">
      <c r="B608" s="24"/>
      <c r="C608" s="24"/>
      <c r="D608" s="24"/>
      <c r="E608" s="24"/>
      <c r="F608" s="24"/>
      <c r="G608" s="24"/>
      <c r="H608" s="24"/>
      <c r="I608" s="24"/>
      <c r="J608" s="24"/>
      <c r="M608" s="48"/>
      <c r="N608" s="48"/>
      <c r="O608" s="48"/>
      <c r="P608" s="50"/>
    </row>
    <row r="609" ht="15.0" customHeight="1">
      <c r="B609" s="24"/>
      <c r="C609" s="24"/>
      <c r="D609" s="24"/>
      <c r="E609" s="24"/>
      <c r="F609" s="24"/>
      <c r="G609" s="24"/>
      <c r="H609" s="24"/>
      <c r="I609" s="24"/>
      <c r="J609" s="24"/>
      <c r="M609" s="48"/>
      <c r="N609" s="48"/>
      <c r="O609" s="48"/>
      <c r="P609" s="50"/>
    </row>
    <row r="610" ht="15.0" customHeight="1">
      <c r="B610" s="24"/>
      <c r="C610" s="24"/>
      <c r="D610" s="24"/>
      <c r="E610" s="24"/>
      <c r="F610" s="24"/>
      <c r="G610" s="24"/>
      <c r="H610" s="24"/>
      <c r="I610" s="24"/>
      <c r="J610" s="24"/>
      <c r="M610" s="48"/>
      <c r="N610" s="48"/>
      <c r="O610" s="48"/>
      <c r="P610" s="50"/>
    </row>
    <row r="611" ht="15.0" customHeight="1">
      <c r="B611" s="24"/>
      <c r="C611" s="24"/>
      <c r="D611" s="24"/>
      <c r="E611" s="24"/>
      <c r="F611" s="24"/>
      <c r="G611" s="24"/>
      <c r="H611" s="24"/>
      <c r="I611" s="24"/>
      <c r="J611" s="24"/>
      <c r="M611" s="48"/>
      <c r="N611" s="48"/>
      <c r="O611" s="48"/>
      <c r="P611" s="50"/>
    </row>
    <row r="612" ht="15.0" customHeight="1">
      <c r="B612" s="24"/>
      <c r="C612" s="24"/>
      <c r="D612" s="24"/>
      <c r="E612" s="24"/>
      <c r="F612" s="24"/>
      <c r="G612" s="24"/>
      <c r="H612" s="24"/>
      <c r="I612" s="24"/>
      <c r="J612" s="24"/>
      <c r="M612" s="48"/>
      <c r="N612" s="48"/>
      <c r="O612" s="48"/>
      <c r="P612" s="50"/>
    </row>
    <row r="613" ht="15.0" customHeight="1">
      <c r="B613" s="24"/>
      <c r="C613" s="24"/>
      <c r="D613" s="24"/>
      <c r="E613" s="24"/>
      <c r="F613" s="24"/>
      <c r="G613" s="24"/>
      <c r="H613" s="24"/>
      <c r="I613" s="24"/>
      <c r="J613" s="24"/>
      <c r="M613" s="48"/>
      <c r="N613" s="48"/>
      <c r="O613" s="48"/>
      <c r="P613" s="50"/>
    </row>
    <row r="614" ht="15.0" customHeight="1">
      <c r="B614" s="24"/>
      <c r="C614" s="24"/>
      <c r="D614" s="24"/>
      <c r="E614" s="24"/>
      <c r="F614" s="24"/>
      <c r="G614" s="24"/>
      <c r="H614" s="24"/>
      <c r="I614" s="24"/>
      <c r="J614" s="24"/>
      <c r="M614" s="48"/>
      <c r="N614" s="48"/>
      <c r="O614" s="48"/>
      <c r="P614" s="50"/>
    </row>
    <row r="615" ht="15.0" customHeight="1">
      <c r="B615" s="24"/>
      <c r="C615" s="24"/>
      <c r="D615" s="24"/>
      <c r="E615" s="24"/>
      <c r="F615" s="24"/>
      <c r="G615" s="24"/>
      <c r="H615" s="24"/>
      <c r="I615" s="24"/>
      <c r="J615" s="24"/>
      <c r="M615" s="48"/>
      <c r="N615" s="48"/>
      <c r="O615" s="48"/>
      <c r="P615" s="50"/>
    </row>
    <row r="616" ht="15.0" customHeight="1">
      <c r="B616" s="24"/>
      <c r="C616" s="24"/>
      <c r="D616" s="24"/>
      <c r="E616" s="24"/>
      <c r="F616" s="24"/>
      <c r="G616" s="24"/>
      <c r="H616" s="24"/>
      <c r="I616" s="24"/>
      <c r="J616" s="24"/>
      <c r="M616" s="48"/>
      <c r="N616" s="48"/>
      <c r="O616" s="48"/>
      <c r="P616" s="50"/>
    </row>
    <row r="617" ht="15.0" customHeight="1">
      <c r="B617" s="24"/>
      <c r="C617" s="24"/>
      <c r="D617" s="24"/>
      <c r="E617" s="24"/>
      <c r="F617" s="24"/>
      <c r="G617" s="24"/>
      <c r="H617" s="24"/>
      <c r="I617" s="24"/>
      <c r="J617" s="24"/>
      <c r="M617" s="48"/>
      <c r="N617" s="48"/>
      <c r="O617" s="48"/>
      <c r="P617" s="50"/>
    </row>
    <row r="618" ht="15.0" customHeight="1">
      <c r="B618" s="24"/>
      <c r="C618" s="24"/>
      <c r="D618" s="24"/>
      <c r="E618" s="24"/>
      <c r="F618" s="24"/>
      <c r="G618" s="24"/>
      <c r="H618" s="24"/>
      <c r="I618" s="24"/>
      <c r="J618" s="24"/>
      <c r="M618" s="48"/>
      <c r="N618" s="48"/>
      <c r="O618" s="48"/>
      <c r="P618" s="50"/>
    </row>
    <row r="619" ht="15.0" customHeight="1">
      <c r="B619" s="24"/>
      <c r="C619" s="24"/>
      <c r="D619" s="24"/>
      <c r="E619" s="24"/>
      <c r="F619" s="24"/>
      <c r="G619" s="24"/>
      <c r="H619" s="24"/>
      <c r="I619" s="24"/>
      <c r="J619" s="24"/>
      <c r="M619" s="48"/>
      <c r="N619" s="48"/>
      <c r="O619" s="48"/>
      <c r="P619" s="50"/>
    </row>
    <row r="620" ht="15.0" customHeight="1">
      <c r="B620" s="24"/>
      <c r="C620" s="24"/>
      <c r="D620" s="24"/>
      <c r="E620" s="24"/>
      <c r="F620" s="24"/>
      <c r="G620" s="24"/>
      <c r="H620" s="24"/>
      <c r="I620" s="24"/>
      <c r="J620" s="24"/>
      <c r="M620" s="48"/>
      <c r="N620" s="48"/>
      <c r="O620" s="48"/>
      <c r="P620" s="50"/>
    </row>
    <row r="621" ht="15.0" customHeight="1">
      <c r="B621" s="24"/>
      <c r="C621" s="24"/>
      <c r="D621" s="24"/>
      <c r="E621" s="24"/>
      <c r="F621" s="24"/>
      <c r="G621" s="24"/>
      <c r="H621" s="24"/>
      <c r="I621" s="24"/>
      <c r="J621" s="24"/>
      <c r="M621" s="48"/>
      <c r="N621" s="48"/>
      <c r="O621" s="48"/>
      <c r="P621" s="50"/>
    </row>
    <row r="622" ht="15.0" customHeight="1">
      <c r="B622" s="24"/>
      <c r="C622" s="24"/>
      <c r="D622" s="24"/>
      <c r="E622" s="24"/>
      <c r="F622" s="24"/>
      <c r="G622" s="24"/>
      <c r="H622" s="24"/>
      <c r="I622" s="24"/>
      <c r="J622" s="24"/>
      <c r="M622" s="48"/>
      <c r="N622" s="48"/>
      <c r="O622" s="48"/>
      <c r="P622" s="50"/>
    </row>
    <row r="623" ht="15.0" customHeight="1">
      <c r="B623" s="24"/>
      <c r="C623" s="24"/>
      <c r="D623" s="24"/>
      <c r="E623" s="24"/>
      <c r="F623" s="24"/>
      <c r="G623" s="24"/>
      <c r="H623" s="24"/>
      <c r="I623" s="24"/>
      <c r="J623" s="24"/>
      <c r="M623" s="48"/>
      <c r="N623" s="48"/>
      <c r="O623" s="48"/>
      <c r="P623" s="50"/>
    </row>
    <row r="624" ht="15.0" customHeight="1">
      <c r="B624" s="24"/>
      <c r="C624" s="24"/>
      <c r="D624" s="24"/>
      <c r="E624" s="24"/>
      <c r="F624" s="24"/>
      <c r="G624" s="24"/>
      <c r="H624" s="24"/>
      <c r="I624" s="24"/>
      <c r="J624" s="24"/>
      <c r="M624" s="48"/>
      <c r="N624" s="48"/>
      <c r="O624" s="48"/>
      <c r="P624" s="50"/>
    </row>
    <row r="625" ht="15.0" customHeight="1">
      <c r="B625" s="24"/>
      <c r="C625" s="24"/>
      <c r="D625" s="24"/>
      <c r="E625" s="24"/>
      <c r="F625" s="24"/>
      <c r="G625" s="24"/>
      <c r="H625" s="24"/>
      <c r="I625" s="24"/>
      <c r="J625" s="24"/>
      <c r="M625" s="48"/>
      <c r="N625" s="48"/>
      <c r="O625" s="48"/>
      <c r="P625" s="50"/>
    </row>
    <row r="626" ht="15.0" customHeight="1">
      <c r="B626" s="24"/>
      <c r="C626" s="24"/>
      <c r="D626" s="24"/>
      <c r="E626" s="24"/>
      <c r="F626" s="24"/>
      <c r="G626" s="24"/>
      <c r="H626" s="24"/>
      <c r="I626" s="24"/>
      <c r="J626" s="24"/>
      <c r="M626" s="48"/>
      <c r="N626" s="48"/>
      <c r="O626" s="48"/>
      <c r="P626" s="50"/>
    </row>
    <row r="627" ht="15.0" customHeight="1">
      <c r="B627" s="24"/>
      <c r="C627" s="24"/>
      <c r="D627" s="24"/>
      <c r="E627" s="24"/>
      <c r="F627" s="24"/>
      <c r="G627" s="24"/>
      <c r="H627" s="24"/>
      <c r="I627" s="24"/>
      <c r="J627" s="24"/>
      <c r="M627" s="48"/>
      <c r="N627" s="48"/>
      <c r="O627" s="48"/>
      <c r="P627" s="50"/>
    </row>
    <row r="628" ht="15.0" customHeight="1">
      <c r="B628" s="24"/>
      <c r="C628" s="24"/>
      <c r="D628" s="24"/>
      <c r="E628" s="24"/>
      <c r="F628" s="24"/>
      <c r="G628" s="24"/>
      <c r="H628" s="24"/>
      <c r="I628" s="24"/>
      <c r="J628" s="24"/>
      <c r="M628" s="48"/>
      <c r="N628" s="48"/>
      <c r="O628" s="48"/>
      <c r="P628" s="50"/>
    </row>
    <row r="629" ht="15.0" customHeight="1">
      <c r="B629" s="24"/>
      <c r="C629" s="24"/>
      <c r="D629" s="24"/>
      <c r="E629" s="24"/>
      <c r="F629" s="24"/>
      <c r="G629" s="24"/>
      <c r="H629" s="24"/>
      <c r="I629" s="24"/>
      <c r="J629" s="24"/>
      <c r="M629" s="48"/>
      <c r="N629" s="48"/>
      <c r="O629" s="48"/>
      <c r="P629" s="50"/>
    </row>
    <row r="630" ht="15.0" customHeight="1">
      <c r="B630" s="24"/>
      <c r="C630" s="24"/>
      <c r="D630" s="24"/>
      <c r="E630" s="24"/>
      <c r="F630" s="24"/>
      <c r="G630" s="24"/>
      <c r="H630" s="24"/>
      <c r="I630" s="24"/>
      <c r="J630" s="24"/>
      <c r="M630" s="48"/>
      <c r="N630" s="48"/>
      <c r="O630" s="48"/>
      <c r="P630" s="50"/>
    </row>
    <row r="631" ht="15.0" customHeight="1">
      <c r="B631" s="24"/>
      <c r="C631" s="24"/>
      <c r="D631" s="24"/>
      <c r="E631" s="24"/>
      <c r="F631" s="24"/>
      <c r="G631" s="24"/>
      <c r="H631" s="24"/>
      <c r="I631" s="24"/>
      <c r="J631" s="24"/>
      <c r="M631" s="48"/>
      <c r="N631" s="48"/>
      <c r="O631" s="48"/>
      <c r="P631" s="50"/>
    </row>
    <row r="632" ht="15.0" customHeight="1">
      <c r="B632" s="24"/>
      <c r="C632" s="24"/>
      <c r="D632" s="24"/>
      <c r="E632" s="24"/>
      <c r="F632" s="24"/>
      <c r="G632" s="24"/>
      <c r="H632" s="24"/>
      <c r="I632" s="24"/>
      <c r="J632" s="24"/>
      <c r="M632" s="48"/>
      <c r="N632" s="48"/>
      <c r="O632" s="48"/>
      <c r="P632" s="50"/>
    </row>
    <row r="633" ht="15.0" customHeight="1">
      <c r="B633" s="24"/>
      <c r="C633" s="24"/>
      <c r="D633" s="24"/>
      <c r="E633" s="24"/>
      <c r="F633" s="24"/>
      <c r="G633" s="24"/>
      <c r="H633" s="24"/>
      <c r="I633" s="24"/>
      <c r="J633" s="24"/>
      <c r="M633" s="48"/>
      <c r="N633" s="48"/>
      <c r="O633" s="48"/>
      <c r="P633" s="50"/>
    </row>
    <row r="634" ht="15.0" customHeight="1">
      <c r="B634" s="24"/>
      <c r="C634" s="24"/>
      <c r="D634" s="24"/>
      <c r="E634" s="24"/>
      <c r="F634" s="24"/>
      <c r="G634" s="24"/>
      <c r="H634" s="24"/>
      <c r="I634" s="24"/>
      <c r="J634" s="24"/>
      <c r="M634" s="48"/>
      <c r="N634" s="48"/>
      <c r="O634" s="48"/>
      <c r="P634" s="50"/>
    </row>
    <row r="635" ht="15.0" customHeight="1">
      <c r="B635" s="24"/>
      <c r="C635" s="24"/>
      <c r="D635" s="24"/>
      <c r="E635" s="24"/>
      <c r="F635" s="24"/>
      <c r="G635" s="24"/>
      <c r="H635" s="24"/>
      <c r="I635" s="24"/>
      <c r="J635" s="24"/>
      <c r="M635" s="48"/>
      <c r="N635" s="48"/>
      <c r="O635" s="48"/>
      <c r="P635" s="50"/>
    </row>
    <row r="636" ht="15.0" customHeight="1">
      <c r="B636" s="24"/>
      <c r="C636" s="24"/>
      <c r="D636" s="24"/>
      <c r="E636" s="24"/>
      <c r="F636" s="24"/>
      <c r="G636" s="24"/>
      <c r="H636" s="24"/>
      <c r="I636" s="24"/>
      <c r="J636" s="24"/>
      <c r="M636" s="48"/>
      <c r="N636" s="48"/>
      <c r="O636" s="48"/>
      <c r="P636" s="50"/>
    </row>
    <row r="637" ht="15.0" customHeight="1">
      <c r="B637" s="24"/>
      <c r="C637" s="24"/>
      <c r="D637" s="24"/>
      <c r="E637" s="24"/>
      <c r="F637" s="24"/>
      <c r="G637" s="24"/>
      <c r="H637" s="24"/>
      <c r="I637" s="24"/>
      <c r="J637" s="24"/>
      <c r="M637" s="48"/>
      <c r="N637" s="48"/>
      <c r="O637" s="48"/>
      <c r="P637" s="50"/>
    </row>
    <row r="638" ht="15.0" customHeight="1">
      <c r="B638" s="24"/>
      <c r="C638" s="24"/>
      <c r="D638" s="24"/>
      <c r="E638" s="24"/>
      <c r="F638" s="24"/>
      <c r="G638" s="24"/>
      <c r="H638" s="24"/>
      <c r="I638" s="24"/>
      <c r="J638" s="24"/>
      <c r="M638" s="48"/>
      <c r="N638" s="48"/>
      <c r="O638" s="48"/>
      <c r="P638" s="50"/>
    </row>
    <row r="639" ht="15.0" customHeight="1">
      <c r="B639" s="24"/>
      <c r="C639" s="24"/>
      <c r="D639" s="24"/>
      <c r="E639" s="24"/>
      <c r="F639" s="24"/>
      <c r="G639" s="24"/>
      <c r="H639" s="24"/>
      <c r="I639" s="24"/>
      <c r="J639" s="24"/>
      <c r="M639" s="48"/>
      <c r="N639" s="48"/>
      <c r="O639" s="48"/>
      <c r="P639" s="50"/>
    </row>
    <row r="640" ht="15.0" customHeight="1">
      <c r="B640" s="24"/>
      <c r="C640" s="24"/>
      <c r="D640" s="24"/>
      <c r="E640" s="24"/>
      <c r="F640" s="24"/>
      <c r="G640" s="24"/>
      <c r="H640" s="24"/>
      <c r="I640" s="24"/>
      <c r="J640" s="24"/>
      <c r="M640" s="48"/>
      <c r="N640" s="48"/>
      <c r="O640" s="48"/>
      <c r="P640" s="50"/>
    </row>
    <row r="641" ht="15.0" customHeight="1">
      <c r="B641" s="24"/>
      <c r="C641" s="24"/>
      <c r="D641" s="24"/>
      <c r="E641" s="24"/>
      <c r="F641" s="24"/>
      <c r="G641" s="24"/>
      <c r="H641" s="24"/>
      <c r="I641" s="24"/>
      <c r="J641" s="24"/>
      <c r="M641" s="48"/>
      <c r="N641" s="48"/>
      <c r="O641" s="48"/>
      <c r="P641" s="50"/>
    </row>
    <row r="642" ht="15.0" customHeight="1">
      <c r="B642" s="24"/>
      <c r="C642" s="24"/>
      <c r="D642" s="24"/>
      <c r="E642" s="24"/>
      <c r="F642" s="24"/>
      <c r="G642" s="24"/>
      <c r="H642" s="24"/>
      <c r="I642" s="24"/>
      <c r="J642" s="24"/>
      <c r="M642" s="48"/>
      <c r="N642" s="48"/>
      <c r="O642" s="48"/>
      <c r="P642" s="50"/>
    </row>
    <row r="643" ht="15.0" customHeight="1">
      <c r="B643" s="24"/>
      <c r="C643" s="24"/>
      <c r="D643" s="24"/>
      <c r="E643" s="24"/>
      <c r="F643" s="24"/>
      <c r="G643" s="24"/>
      <c r="H643" s="24"/>
      <c r="I643" s="24"/>
      <c r="J643" s="24"/>
      <c r="M643" s="48"/>
      <c r="N643" s="48"/>
      <c r="O643" s="48"/>
      <c r="P643" s="50"/>
    </row>
    <row r="644" ht="15.0" customHeight="1">
      <c r="B644" s="24"/>
      <c r="C644" s="24"/>
      <c r="D644" s="24"/>
      <c r="E644" s="24"/>
      <c r="F644" s="24"/>
      <c r="G644" s="24"/>
      <c r="H644" s="24"/>
      <c r="I644" s="24"/>
      <c r="J644" s="24"/>
      <c r="M644" s="48"/>
      <c r="N644" s="48"/>
      <c r="O644" s="48"/>
      <c r="P644" s="50"/>
    </row>
    <row r="645" ht="15.0" customHeight="1">
      <c r="B645" s="24"/>
      <c r="C645" s="24"/>
      <c r="D645" s="24"/>
      <c r="E645" s="24"/>
      <c r="F645" s="24"/>
      <c r="G645" s="24"/>
      <c r="H645" s="24"/>
      <c r="I645" s="24"/>
      <c r="J645" s="24"/>
      <c r="M645" s="48"/>
      <c r="N645" s="48"/>
      <c r="O645" s="48"/>
      <c r="P645" s="50"/>
    </row>
    <row r="646" ht="15.0" customHeight="1">
      <c r="B646" s="24"/>
      <c r="C646" s="24"/>
      <c r="D646" s="24"/>
      <c r="E646" s="24"/>
      <c r="F646" s="24"/>
      <c r="G646" s="24"/>
      <c r="H646" s="24"/>
      <c r="I646" s="24"/>
      <c r="J646" s="24"/>
      <c r="M646" s="48"/>
      <c r="N646" s="48"/>
      <c r="O646" s="48"/>
      <c r="P646" s="50"/>
    </row>
    <row r="647" ht="15.0" customHeight="1">
      <c r="B647" s="24"/>
      <c r="C647" s="24"/>
      <c r="D647" s="24"/>
      <c r="E647" s="24"/>
      <c r="F647" s="24"/>
      <c r="G647" s="24"/>
      <c r="H647" s="24"/>
      <c r="I647" s="24"/>
      <c r="J647" s="24"/>
      <c r="M647" s="48"/>
      <c r="N647" s="48"/>
      <c r="O647" s="48"/>
      <c r="P647" s="50"/>
    </row>
    <row r="648" ht="15.0" customHeight="1">
      <c r="B648" s="24"/>
      <c r="C648" s="24"/>
      <c r="D648" s="24"/>
      <c r="E648" s="24"/>
      <c r="F648" s="24"/>
      <c r="G648" s="24"/>
      <c r="H648" s="24"/>
      <c r="I648" s="24"/>
      <c r="J648" s="24"/>
      <c r="M648" s="48"/>
      <c r="N648" s="48"/>
      <c r="O648" s="48"/>
      <c r="P648" s="50"/>
    </row>
    <row r="649" ht="15.0" customHeight="1">
      <c r="B649" s="24"/>
      <c r="C649" s="24"/>
      <c r="D649" s="24"/>
      <c r="E649" s="24"/>
      <c r="F649" s="24"/>
      <c r="G649" s="24"/>
      <c r="H649" s="24"/>
      <c r="I649" s="24"/>
      <c r="J649" s="24"/>
      <c r="M649" s="48"/>
      <c r="N649" s="48"/>
      <c r="O649" s="48"/>
      <c r="P649" s="50"/>
    </row>
    <row r="650" ht="15.0" customHeight="1">
      <c r="B650" s="24"/>
      <c r="C650" s="24"/>
      <c r="D650" s="24"/>
      <c r="E650" s="24"/>
      <c r="F650" s="24"/>
      <c r="G650" s="24"/>
      <c r="H650" s="24"/>
      <c r="I650" s="24"/>
      <c r="J650" s="24"/>
      <c r="M650" s="48"/>
      <c r="N650" s="48"/>
      <c r="O650" s="48"/>
      <c r="P650" s="50"/>
    </row>
    <row r="651" ht="15.0" customHeight="1">
      <c r="B651" s="24"/>
      <c r="C651" s="24"/>
      <c r="D651" s="24"/>
      <c r="E651" s="24"/>
      <c r="F651" s="24"/>
      <c r="G651" s="24"/>
      <c r="H651" s="24"/>
      <c r="I651" s="24"/>
      <c r="J651" s="24"/>
      <c r="M651" s="48"/>
      <c r="N651" s="48"/>
      <c r="O651" s="48"/>
      <c r="P651" s="50"/>
    </row>
    <row r="652" ht="15.0" customHeight="1">
      <c r="B652" s="24"/>
      <c r="C652" s="24"/>
      <c r="D652" s="24"/>
      <c r="E652" s="24"/>
      <c r="F652" s="24"/>
      <c r="G652" s="24"/>
      <c r="H652" s="24"/>
      <c r="I652" s="24"/>
      <c r="J652" s="24"/>
      <c r="M652" s="48"/>
      <c r="N652" s="48"/>
      <c r="O652" s="48"/>
      <c r="P652" s="50"/>
    </row>
    <row r="653" ht="15.0" customHeight="1">
      <c r="B653" s="24"/>
      <c r="C653" s="24"/>
      <c r="D653" s="24"/>
      <c r="E653" s="24"/>
      <c r="F653" s="24"/>
      <c r="G653" s="24"/>
      <c r="H653" s="24"/>
      <c r="I653" s="24"/>
      <c r="J653" s="24"/>
      <c r="M653" s="48"/>
      <c r="N653" s="48"/>
      <c r="O653" s="48"/>
      <c r="P653" s="50"/>
    </row>
    <row r="654" ht="15.0" customHeight="1">
      <c r="B654" s="24"/>
      <c r="C654" s="24"/>
      <c r="D654" s="24"/>
      <c r="E654" s="24"/>
      <c r="F654" s="24"/>
      <c r="G654" s="24"/>
      <c r="H654" s="24"/>
      <c r="I654" s="24"/>
      <c r="J654" s="24"/>
      <c r="M654" s="48"/>
      <c r="N654" s="48"/>
      <c r="O654" s="48"/>
      <c r="P654" s="50"/>
    </row>
    <row r="655" ht="15.0" customHeight="1">
      <c r="B655" s="24"/>
      <c r="C655" s="24"/>
      <c r="D655" s="24"/>
      <c r="E655" s="24"/>
      <c r="F655" s="24"/>
      <c r="G655" s="24"/>
      <c r="H655" s="24"/>
      <c r="I655" s="24"/>
      <c r="J655" s="24"/>
      <c r="M655" s="48"/>
      <c r="N655" s="48"/>
      <c r="O655" s="48"/>
      <c r="P655" s="50"/>
    </row>
    <row r="656" ht="15.0" customHeight="1">
      <c r="B656" s="24"/>
      <c r="C656" s="24"/>
      <c r="D656" s="24"/>
      <c r="E656" s="24"/>
      <c r="F656" s="24"/>
      <c r="G656" s="24"/>
      <c r="H656" s="24"/>
      <c r="I656" s="24"/>
      <c r="J656" s="24"/>
      <c r="M656" s="48"/>
      <c r="N656" s="48"/>
      <c r="O656" s="48"/>
      <c r="P656" s="50"/>
    </row>
    <row r="657" ht="15.0" customHeight="1">
      <c r="B657" s="24"/>
      <c r="C657" s="24"/>
      <c r="D657" s="24"/>
      <c r="E657" s="24"/>
      <c r="F657" s="24"/>
      <c r="G657" s="24"/>
      <c r="H657" s="24"/>
      <c r="I657" s="24"/>
      <c r="J657" s="24"/>
      <c r="M657" s="48"/>
      <c r="N657" s="48"/>
      <c r="O657" s="48"/>
      <c r="P657" s="50"/>
    </row>
    <row r="658" ht="15.0" customHeight="1">
      <c r="B658" s="24"/>
      <c r="C658" s="24"/>
      <c r="D658" s="24"/>
      <c r="E658" s="24"/>
      <c r="F658" s="24"/>
      <c r="G658" s="24"/>
      <c r="H658" s="24"/>
      <c r="I658" s="24"/>
      <c r="J658" s="24"/>
      <c r="M658" s="48"/>
      <c r="N658" s="48"/>
      <c r="O658" s="48"/>
      <c r="P658" s="50"/>
    </row>
    <row r="659" ht="15.0" customHeight="1">
      <c r="B659" s="24"/>
      <c r="C659" s="24"/>
      <c r="D659" s="24"/>
      <c r="E659" s="24"/>
      <c r="F659" s="24"/>
      <c r="G659" s="24"/>
      <c r="H659" s="24"/>
      <c r="I659" s="24"/>
      <c r="J659" s="24"/>
      <c r="M659" s="48"/>
      <c r="N659" s="48"/>
      <c r="O659" s="48"/>
      <c r="P659" s="50"/>
    </row>
    <row r="660" ht="15.0" customHeight="1">
      <c r="B660" s="24"/>
      <c r="C660" s="24"/>
      <c r="D660" s="24"/>
      <c r="E660" s="24"/>
      <c r="F660" s="24"/>
      <c r="G660" s="24"/>
      <c r="H660" s="24"/>
      <c r="I660" s="24"/>
      <c r="J660" s="24"/>
      <c r="M660" s="48"/>
      <c r="N660" s="48"/>
      <c r="O660" s="48"/>
      <c r="P660" s="50"/>
    </row>
    <row r="661" ht="15.0" customHeight="1">
      <c r="B661" s="24"/>
      <c r="C661" s="24"/>
      <c r="D661" s="24"/>
      <c r="E661" s="24"/>
      <c r="F661" s="24"/>
      <c r="G661" s="24"/>
      <c r="H661" s="24"/>
      <c r="I661" s="24"/>
      <c r="J661" s="24"/>
      <c r="M661" s="48"/>
      <c r="N661" s="48"/>
      <c r="O661" s="48"/>
      <c r="P661" s="50"/>
    </row>
    <row r="662" ht="15.0" customHeight="1">
      <c r="B662" s="24"/>
      <c r="C662" s="24"/>
      <c r="D662" s="24"/>
      <c r="E662" s="24"/>
      <c r="F662" s="24"/>
      <c r="G662" s="24"/>
      <c r="H662" s="24"/>
      <c r="I662" s="24"/>
      <c r="J662" s="24"/>
      <c r="M662" s="48"/>
      <c r="N662" s="48"/>
      <c r="O662" s="48"/>
      <c r="P662" s="50"/>
    </row>
    <row r="663" ht="15.0" customHeight="1">
      <c r="B663" s="24"/>
      <c r="C663" s="24"/>
      <c r="D663" s="24"/>
      <c r="E663" s="24"/>
      <c r="F663" s="24"/>
      <c r="G663" s="24"/>
      <c r="H663" s="24"/>
      <c r="I663" s="24"/>
      <c r="J663" s="24"/>
      <c r="M663" s="48"/>
      <c r="N663" s="48"/>
      <c r="O663" s="48"/>
      <c r="P663" s="50"/>
    </row>
    <row r="664" ht="15.0" customHeight="1">
      <c r="B664" s="24"/>
      <c r="C664" s="24"/>
      <c r="D664" s="24"/>
      <c r="E664" s="24"/>
      <c r="F664" s="24"/>
      <c r="G664" s="24"/>
      <c r="H664" s="24"/>
      <c r="I664" s="24"/>
      <c r="J664" s="24"/>
      <c r="M664" s="48"/>
      <c r="N664" s="48"/>
      <c r="O664" s="48"/>
      <c r="P664" s="50"/>
    </row>
    <row r="665" ht="15.0" customHeight="1">
      <c r="B665" s="24"/>
      <c r="C665" s="24"/>
      <c r="D665" s="24"/>
      <c r="E665" s="24"/>
      <c r="F665" s="24"/>
      <c r="G665" s="24"/>
      <c r="H665" s="24"/>
      <c r="I665" s="24"/>
      <c r="J665" s="24"/>
      <c r="M665" s="48"/>
      <c r="N665" s="48"/>
      <c r="O665" s="48"/>
      <c r="P665" s="50"/>
    </row>
    <row r="666" ht="15.0" customHeight="1">
      <c r="B666" s="24"/>
      <c r="C666" s="24"/>
      <c r="D666" s="24"/>
      <c r="E666" s="24"/>
      <c r="F666" s="24"/>
      <c r="G666" s="24"/>
      <c r="H666" s="24"/>
      <c r="I666" s="24"/>
      <c r="J666" s="24"/>
      <c r="M666" s="48"/>
      <c r="N666" s="48"/>
      <c r="O666" s="48"/>
      <c r="P666" s="50"/>
    </row>
    <row r="667" ht="15.0" customHeight="1">
      <c r="B667" s="24"/>
      <c r="C667" s="24"/>
      <c r="D667" s="24"/>
      <c r="E667" s="24"/>
      <c r="F667" s="24"/>
      <c r="G667" s="24"/>
      <c r="H667" s="24"/>
      <c r="I667" s="24"/>
      <c r="J667" s="24"/>
      <c r="M667" s="48"/>
      <c r="N667" s="48"/>
      <c r="O667" s="48"/>
      <c r="P667" s="50"/>
    </row>
    <row r="668" ht="15.0" customHeight="1">
      <c r="B668" s="24"/>
      <c r="C668" s="24"/>
      <c r="D668" s="24"/>
      <c r="E668" s="24"/>
      <c r="F668" s="24"/>
      <c r="G668" s="24"/>
      <c r="H668" s="24"/>
      <c r="I668" s="24"/>
      <c r="J668" s="24"/>
      <c r="M668" s="48"/>
      <c r="N668" s="48"/>
      <c r="O668" s="48"/>
      <c r="P668" s="50"/>
    </row>
    <row r="669" ht="15.0" customHeight="1">
      <c r="B669" s="24"/>
      <c r="C669" s="24"/>
      <c r="D669" s="24"/>
      <c r="E669" s="24"/>
      <c r="F669" s="24"/>
      <c r="G669" s="24"/>
      <c r="H669" s="24"/>
      <c r="I669" s="24"/>
      <c r="J669" s="24"/>
      <c r="M669" s="48"/>
      <c r="N669" s="48"/>
      <c r="O669" s="48"/>
      <c r="P669" s="50"/>
    </row>
    <row r="670" ht="15.0" customHeight="1">
      <c r="B670" s="24"/>
      <c r="C670" s="24"/>
      <c r="D670" s="24"/>
      <c r="E670" s="24"/>
      <c r="F670" s="24"/>
      <c r="G670" s="24"/>
      <c r="H670" s="24"/>
      <c r="I670" s="24"/>
      <c r="J670" s="24"/>
      <c r="M670" s="48"/>
      <c r="N670" s="48"/>
      <c r="O670" s="48"/>
      <c r="P670" s="50"/>
    </row>
    <row r="671" ht="15.0" customHeight="1">
      <c r="B671" s="24"/>
      <c r="C671" s="24"/>
      <c r="D671" s="24"/>
      <c r="E671" s="24"/>
      <c r="F671" s="24"/>
      <c r="G671" s="24"/>
      <c r="H671" s="24"/>
      <c r="I671" s="24"/>
      <c r="J671" s="24"/>
      <c r="M671" s="48"/>
      <c r="N671" s="48"/>
      <c r="O671" s="48"/>
      <c r="P671" s="50"/>
    </row>
    <row r="672" ht="15.0" customHeight="1">
      <c r="B672" s="24"/>
      <c r="C672" s="24"/>
      <c r="D672" s="24"/>
      <c r="E672" s="24"/>
      <c r="F672" s="24"/>
      <c r="G672" s="24"/>
      <c r="H672" s="24"/>
      <c r="I672" s="24"/>
      <c r="J672" s="24"/>
      <c r="M672" s="48"/>
      <c r="N672" s="48"/>
      <c r="O672" s="48"/>
      <c r="P672" s="50"/>
    </row>
    <row r="673" ht="15.0" customHeight="1">
      <c r="B673" s="24"/>
      <c r="C673" s="24"/>
      <c r="D673" s="24"/>
      <c r="E673" s="24"/>
      <c r="F673" s="24"/>
      <c r="G673" s="24"/>
      <c r="H673" s="24"/>
      <c r="I673" s="24"/>
      <c r="J673" s="24"/>
      <c r="M673" s="48"/>
      <c r="N673" s="48"/>
      <c r="O673" s="48"/>
      <c r="P673" s="50"/>
    </row>
    <row r="674" ht="15.0" customHeight="1">
      <c r="B674" s="24"/>
      <c r="C674" s="24"/>
      <c r="D674" s="24"/>
      <c r="E674" s="24"/>
      <c r="F674" s="24"/>
      <c r="G674" s="24"/>
      <c r="H674" s="24"/>
      <c r="I674" s="24"/>
      <c r="J674" s="24"/>
      <c r="M674" s="48"/>
      <c r="N674" s="48"/>
      <c r="O674" s="48"/>
      <c r="P674" s="50"/>
    </row>
    <row r="675" ht="15.0" customHeight="1">
      <c r="B675" s="24"/>
      <c r="C675" s="24"/>
      <c r="D675" s="24"/>
      <c r="E675" s="24"/>
      <c r="F675" s="24"/>
      <c r="G675" s="24"/>
      <c r="H675" s="24"/>
      <c r="I675" s="24"/>
      <c r="J675" s="24"/>
      <c r="M675" s="48"/>
      <c r="N675" s="48"/>
      <c r="O675" s="48"/>
      <c r="P675" s="50"/>
    </row>
    <row r="676" ht="15.0" customHeight="1">
      <c r="B676" s="24"/>
      <c r="C676" s="24"/>
      <c r="D676" s="24"/>
      <c r="E676" s="24"/>
      <c r="F676" s="24"/>
      <c r="G676" s="24"/>
      <c r="H676" s="24"/>
      <c r="I676" s="24"/>
      <c r="J676" s="24"/>
      <c r="M676" s="48"/>
      <c r="N676" s="48"/>
      <c r="O676" s="48"/>
      <c r="P676" s="50"/>
    </row>
    <row r="677" ht="15.0" customHeight="1">
      <c r="B677" s="24"/>
      <c r="C677" s="24"/>
      <c r="D677" s="24"/>
      <c r="E677" s="24"/>
      <c r="F677" s="24"/>
      <c r="G677" s="24"/>
      <c r="H677" s="24"/>
      <c r="I677" s="24"/>
      <c r="J677" s="24"/>
      <c r="M677" s="48"/>
      <c r="N677" s="48"/>
      <c r="O677" s="48"/>
      <c r="P677" s="50"/>
    </row>
    <row r="678" ht="15.0" customHeight="1">
      <c r="B678" s="24"/>
      <c r="C678" s="24"/>
      <c r="D678" s="24"/>
      <c r="E678" s="24"/>
      <c r="F678" s="24"/>
      <c r="G678" s="24"/>
      <c r="H678" s="24"/>
      <c r="I678" s="24"/>
      <c r="J678" s="24"/>
      <c r="M678" s="48"/>
      <c r="N678" s="48"/>
      <c r="O678" s="48"/>
      <c r="P678" s="50"/>
    </row>
    <row r="679" ht="15.0" customHeight="1">
      <c r="B679" s="24"/>
      <c r="C679" s="24"/>
      <c r="D679" s="24"/>
      <c r="E679" s="24"/>
      <c r="F679" s="24"/>
      <c r="G679" s="24"/>
      <c r="H679" s="24"/>
      <c r="I679" s="24"/>
      <c r="J679" s="24"/>
      <c r="M679" s="48"/>
      <c r="N679" s="48"/>
      <c r="O679" s="48"/>
      <c r="P679" s="50"/>
    </row>
    <row r="680" ht="15.0" customHeight="1">
      <c r="B680" s="24"/>
      <c r="C680" s="24"/>
      <c r="D680" s="24"/>
      <c r="E680" s="24"/>
      <c r="F680" s="24"/>
      <c r="G680" s="24"/>
      <c r="H680" s="24"/>
      <c r="I680" s="24"/>
      <c r="J680" s="24"/>
      <c r="M680" s="48"/>
      <c r="N680" s="48"/>
      <c r="O680" s="48"/>
      <c r="P680" s="50"/>
    </row>
    <row r="681" ht="15.0" customHeight="1">
      <c r="B681" s="24"/>
      <c r="C681" s="24"/>
      <c r="D681" s="24"/>
      <c r="E681" s="24"/>
      <c r="F681" s="24"/>
      <c r="G681" s="24"/>
      <c r="H681" s="24"/>
      <c r="I681" s="24"/>
      <c r="J681" s="24"/>
      <c r="M681" s="48"/>
      <c r="N681" s="48"/>
      <c r="O681" s="48"/>
      <c r="P681" s="50"/>
    </row>
    <row r="682" ht="15.0" customHeight="1">
      <c r="B682" s="24"/>
      <c r="C682" s="24"/>
      <c r="D682" s="24"/>
      <c r="E682" s="24"/>
      <c r="F682" s="24"/>
      <c r="G682" s="24"/>
      <c r="H682" s="24"/>
      <c r="I682" s="24"/>
      <c r="J682" s="24"/>
      <c r="M682" s="48"/>
      <c r="N682" s="48"/>
      <c r="O682" s="48"/>
      <c r="P682" s="50"/>
    </row>
    <row r="683" ht="15.0" customHeight="1">
      <c r="B683" s="24"/>
      <c r="C683" s="24"/>
      <c r="D683" s="24"/>
      <c r="E683" s="24"/>
      <c r="F683" s="24"/>
      <c r="G683" s="24"/>
      <c r="H683" s="24"/>
      <c r="I683" s="24"/>
      <c r="J683" s="24"/>
      <c r="M683" s="48"/>
      <c r="N683" s="48"/>
      <c r="O683" s="48"/>
      <c r="P683" s="50"/>
    </row>
    <row r="684" ht="15.0" customHeight="1">
      <c r="B684" s="24"/>
      <c r="C684" s="24"/>
      <c r="D684" s="24"/>
      <c r="E684" s="24"/>
      <c r="F684" s="24"/>
      <c r="G684" s="24"/>
      <c r="H684" s="24"/>
      <c r="I684" s="24"/>
      <c r="J684" s="24"/>
      <c r="M684" s="48"/>
      <c r="N684" s="48"/>
      <c r="O684" s="48"/>
      <c r="P684" s="50"/>
    </row>
    <row r="685" ht="15.0" customHeight="1">
      <c r="B685" s="24"/>
      <c r="C685" s="24"/>
      <c r="D685" s="24"/>
      <c r="E685" s="24"/>
      <c r="F685" s="24"/>
      <c r="G685" s="24"/>
      <c r="H685" s="24"/>
      <c r="I685" s="24"/>
      <c r="J685" s="24"/>
      <c r="M685" s="48"/>
      <c r="N685" s="48"/>
      <c r="O685" s="48"/>
      <c r="P685" s="50"/>
    </row>
    <row r="686" ht="15.0" customHeight="1">
      <c r="B686" s="24"/>
      <c r="C686" s="24"/>
      <c r="D686" s="24"/>
      <c r="E686" s="24"/>
      <c r="F686" s="24"/>
      <c r="G686" s="24"/>
      <c r="H686" s="24"/>
      <c r="I686" s="24"/>
      <c r="J686" s="24"/>
      <c r="M686" s="48"/>
      <c r="N686" s="48"/>
      <c r="O686" s="48"/>
      <c r="P686" s="50"/>
    </row>
    <row r="687" ht="15.0" customHeight="1">
      <c r="B687" s="24"/>
      <c r="C687" s="24"/>
      <c r="D687" s="24"/>
      <c r="E687" s="24"/>
      <c r="F687" s="24"/>
      <c r="G687" s="24"/>
      <c r="H687" s="24"/>
      <c r="I687" s="24"/>
      <c r="J687" s="24"/>
      <c r="M687" s="48"/>
      <c r="N687" s="48"/>
      <c r="O687" s="48"/>
      <c r="P687" s="50"/>
    </row>
    <row r="688" ht="15.0" customHeight="1">
      <c r="B688" s="24"/>
      <c r="C688" s="24"/>
      <c r="D688" s="24"/>
      <c r="E688" s="24"/>
      <c r="F688" s="24"/>
      <c r="G688" s="24"/>
      <c r="H688" s="24"/>
      <c r="I688" s="24"/>
      <c r="J688" s="24"/>
      <c r="M688" s="48"/>
      <c r="N688" s="48"/>
      <c r="O688" s="48"/>
      <c r="P688" s="50"/>
    </row>
    <row r="689" ht="15.0" customHeight="1">
      <c r="B689" s="24"/>
      <c r="C689" s="24"/>
      <c r="D689" s="24"/>
      <c r="E689" s="24"/>
      <c r="F689" s="24"/>
      <c r="G689" s="24"/>
      <c r="H689" s="24"/>
      <c r="I689" s="24"/>
      <c r="J689" s="24"/>
      <c r="M689" s="48"/>
      <c r="N689" s="48"/>
      <c r="O689" s="48"/>
      <c r="P689" s="50"/>
    </row>
    <row r="690" ht="15.0" customHeight="1">
      <c r="B690" s="24"/>
      <c r="C690" s="24"/>
      <c r="D690" s="24"/>
      <c r="E690" s="24"/>
      <c r="F690" s="24"/>
      <c r="G690" s="24"/>
      <c r="H690" s="24"/>
      <c r="I690" s="24"/>
      <c r="J690" s="24"/>
      <c r="M690" s="48"/>
      <c r="N690" s="48"/>
      <c r="O690" s="48"/>
      <c r="P690" s="50"/>
    </row>
    <row r="691" ht="15.0" customHeight="1">
      <c r="B691" s="24"/>
      <c r="C691" s="24"/>
      <c r="D691" s="24"/>
      <c r="E691" s="24"/>
      <c r="F691" s="24"/>
      <c r="G691" s="24"/>
      <c r="H691" s="24"/>
      <c r="I691" s="24"/>
      <c r="J691" s="24"/>
      <c r="M691" s="48"/>
      <c r="N691" s="48"/>
      <c r="O691" s="48"/>
      <c r="P691" s="50"/>
    </row>
    <row r="692" ht="15.0" customHeight="1">
      <c r="B692" s="24"/>
      <c r="C692" s="24"/>
      <c r="D692" s="24"/>
      <c r="E692" s="24"/>
      <c r="F692" s="24"/>
      <c r="G692" s="24"/>
      <c r="H692" s="24"/>
      <c r="I692" s="24"/>
      <c r="J692" s="24"/>
      <c r="M692" s="48"/>
      <c r="N692" s="48"/>
      <c r="O692" s="48"/>
      <c r="P692" s="50"/>
    </row>
    <row r="693" ht="15.0" customHeight="1">
      <c r="B693" s="24"/>
      <c r="C693" s="24"/>
      <c r="D693" s="24"/>
      <c r="E693" s="24"/>
      <c r="F693" s="24"/>
      <c r="G693" s="24"/>
      <c r="H693" s="24"/>
      <c r="I693" s="24"/>
      <c r="J693" s="24"/>
      <c r="M693" s="48"/>
      <c r="N693" s="48"/>
      <c r="O693" s="48"/>
      <c r="P693" s="50"/>
    </row>
    <row r="694" ht="15.0" customHeight="1">
      <c r="B694" s="24"/>
      <c r="C694" s="24"/>
      <c r="D694" s="24"/>
      <c r="E694" s="24"/>
      <c r="F694" s="24"/>
      <c r="G694" s="24"/>
      <c r="H694" s="24"/>
      <c r="I694" s="24"/>
      <c r="J694" s="24"/>
      <c r="M694" s="48"/>
      <c r="N694" s="48"/>
      <c r="O694" s="48"/>
      <c r="P694" s="50"/>
    </row>
    <row r="695" ht="15.0" customHeight="1">
      <c r="B695" s="24"/>
      <c r="C695" s="24"/>
      <c r="D695" s="24"/>
      <c r="E695" s="24"/>
      <c r="F695" s="24"/>
      <c r="G695" s="24"/>
      <c r="H695" s="24"/>
      <c r="I695" s="24"/>
      <c r="J695" s="24"/>
      <c r="M695" s="48"/>
      <c r="N695" s="48"/>
      <c r="O695" s="48"/>
      <c r="P695" s="50"/>
    </row>
    <row r="696" ht="15.0" customHeight="1">
      <c r="B696" s="24"/>
      <c r="C696" s="24"/>
      <c r="D696" s="24"/>
      <c r="E696" s="24"/>
      <c r="F696" s="24"/>
      <c r="G696" s="24"/>
      <c r="H696" s="24"/>
      <c r="I696" s="24"/>
      <c r="J696" s="24"/>
      <c r="M696" s="48"/>
      <c r="N696" s="48"/>
      <c r="O696" s="48"/>
      <c r="P696" s="50"/>
    </row>
    <row r="697" ht="15.0" customHeight="1">
      <c r="B697" s="24"/>
      <c r="C697" s="24"/>
      <c r="D697" s="24"/>
      <c r="E697" s="24"/>
      <c r="F697" s="24"/>
      <c r="G697" s="24"/>
      <c r="H697" s="24"/>
      <c r="I697" s="24"/>
      <c r="J697" s="24"/>
      <c r="M697" s="48"/>
      <c r="N697" s="48"/>
      <c r="O697" s="48"/>
      <c r="P697" s="50"/>
    </row>
    <row r="698" ht="15.0" customHeight="1">
      <c r="B698" s="24"/>
      <c r="C698" s="24"/>
      <c r="D698" s="24"/>
      <c r="E698" s="24"/>
      <c r="F698" s="24"/>
      <c r="G698" s="24"/>
      <c r="H698" s="24"/>
      <c r="I698" s="24"/>
      <c r="J698" s="24"/>
      <c r="M698" s="48"/>
      <c r="N698" s="48"/>
      <c r="O698" s="48"/>
      <c r="P698" s="50"/>
    </row>
    <row r="699" ht="15.0" customHeight="1">
      <c r="B699" s="24"/>
      <c r="C699" s="24"/>
      <c r="D699" s="24"/>
      <c r="E699" s="24"/>
      <c r="F699" s="24"/>
      <c r="G699" s="24"/>
      <c r="H699" s="24"/>
      <c r="I699" s="24"/>
      <c r="J699" s="24"/>
      <c r="M699" s="48"/>
      <c r="N699" s="48"/>
      <c r="O699" s="48"/>
      <c r="P699" s="50"/>
    </row>
    <row r="700" ht="15.0" customHeight="1">
      <c r="B700" s="24"/>
      <c r="C700" s="24"/>
      <c r="D700" s="24"/>
      <c r="E700" s="24"/>
      <c r="F700" s="24"/>
      <c r="G700" s="24"/>
      <c r="H700" s="24"/>
      <c r="I700" s="24"/>
      <c r="J700" s="24"/>
      <c r="M700" s="48"/>
      <c r="N700" s="48"/>
      <c r="O700" s="48"/>
      <c r="P700" s="50"/>
    </row>
    <row r="701" ht="15.0" customHeight="1">
      <c r="B701" s="24"/>
      <c r="C701" s="24"/>
      <c r="D701" s="24"/>
      <c r="E701" s="24"/>
      <c r="F701" s="24"/>
      <c r="G701" s="24"/>
      <c r="H701" s="24"/>
      <c r="I701" s="24"/>
      <c r="J701" s="24"/>
      <c r="M701" s="48"/>
      <c r="N701" s="48"/>
      <c r="O701" s="48"/>
      <c r="P701" s="50"/>
    </row>
    <row r="702" ht="15.0" customHeight="1">
      <c r="B702" s="24"/>
      <c r="C702" s="24"/>
      <c r="D702" s="24"/>
      <c r="E702" s="24"/>
      <c r="F702" s="24"/>
      <c r="G702" s="24"/>
      <c r="H702" s="24"/>
      <c r="I702" s="24"/>
      <c r="J702" s="24"/>
      <c r="M702" s="48"/>
      <c r="N702" s="48"/>
      <c r="O702" s="48"/>
      <c r="P702" s="50"/>
    </row>
    <row r="703" ht="15.0" customHeight="1">
      <c r="B703" s="24"/>
      <c r="C703" s="24"/>
      <c r="D703" s="24"/>
      <c r="E703" s="24"/>
      <c r="F703" s="24"/>
      <c r="G703" s="24"/>
      <c r="H703" s="24"/>
      <c r="I703" s="24"/>
      <c r="J703" s="24"/>
      <c r="M703" s="48"/>
      <c r="N703" s="48"/>
      <c r="O703" s="48"/>
      <c r="P703" s="50"/>
    </row>
    <row r="704" ht="15.0" customHeight="1">
      <c r="B704" s="24"/>
      <c r="C704" s="24"/>
      <c r="D704" s="24"/>
      <c r="E704" s="24"/>
      <c r="F704" s="24"/>
      <c r="G704" s="24"/>
      <c r="H704" s="24"/>
      <c r="I704" s="24"/>
      <c r="J704" s="24"/>
      <c r="M704" s="48"/>
      <c r="N704" s="48"/>
      <c r="O704" s="48"/>
      <c r="P704" s="50"/>
    </row>
    <row r="705" ht="15.0" customHeight="1">
      <c r="B705" s="24"/>
      <c r="C705" s="24"/>
      <c r="D705" s="24"/>
      <c r="E705" s="24"/>
      <c r="F705" s="24"/>
      <c r="G705" s="24"/>
      <c r="H705" s="24"/>
      <c r="I705" s="24"/>
      <c r="J705" s="24"/>
      <c r="M705" s="48"/>
      <c r="N705" s="48"/>
      <c r="O705" s="48"/>
      <c r="P705" s="50"/>
    </row>
    <row r="706" ht="15.0" customHeight="1">
      <c r="B706" s="24"/>
      <c r="C706" s="24"/>
      <c r="D706" s="24"/>
      <c r="E706" s="24"/>
      <c r="F706" s="24"/>
      <c r="G706" s="24"/>
      <c r="H706" s="24"/>
      <c r="I706" s="24"/>
      <c r="J706" s="24"/>
      <c r="M706" s="48"/>
      <c r="N706" s="48"/>
      <c r="O706" s="48"/>
      <c r="P706" s="50"/>
    </row>
    <row r="707" ht="15.0" customHeight="1">
      <c r="B707" s="24"/>
      <c r="C707" s="24"/>
      <c r="D707" s="24"/>
      <c r="E707" s="24"/>
      <c r="F707" s="24"/>
      <c r="G707" s="24"/>
      <c r="H707" s="24"/>
      <c r="I707" s="24"/>
      <c r="J707" s="24"/>
      <c r="M707" s="48"/>
      <c r="N707" s="48"/>
      <c r="O707" s="48"/>
      <c r="P707" s="50"/>
    </row>
    <row r="708" ht="15.0" customHeight="1">
      <c r="B708" s="24"/>
      <c r="C708" s="24"/>
      <c r="D708" s="24"/>
      <c r="E708" s="24"/>
      <c r="F708" s="24"/>
      <c r="G708" s="24"/>
      <c r="H708" s="24"/>
      <c r="I708" s="24"/>
      <c r="J708" s="24"/>
      <c r="M708" s="48"/>
      <c r="N708" s="48"/>
      <c r="O708" s="48"/>
      <c r="P708" s="50"/>
    </row>
    <row r="709" ht="15.0" customHeight="1">
      <c r="B709" s="24"/>
      <c r="C709" s="24"/>
      <c r="D709" s="24"/>
      <c r="E709" s="24"/>
      <c r="F709" s="24"/>
      <c r="G709" s="24"/>
      <c r="H709" s="24"/>
      <c r="I709" s="24"/>
      <c r="J709" s="24"/>
      <c r="M709" s="48"/>
      <c r="N709" s="48"/>
      <c r="O709" s="48"/>
      <c r="P709" s="50"/>
    </row>
    <row r="710" ht="15.0" customHeight="1">
      <c r="B710" s="24"/>
      <c r="C710" s="24"/>
      <c r="D710" s="24"/>
      <c r="E710" s="24"/>
      <c r="F710" s="24"/>
      <c r="G710" s="24"/>
      <c r="H710" s="24"/>
      <c r="I710" s="24"/>
      <c r="J710" s="24"/>
      <c r="M710" s="48"/>
      <c r="N710" s="48"/>
      <c r="O710" s="48"/>
      <c r="P710" s="50"/>
    </row>
    <row r="711" ht="15.0" customHeight="1">
      <c r="B711" s="24"/>
      <c r="C711" s="24"/>
      <c r="D711" s="24"/>
      <c r="E711" s="24"/>
      <c r="F711" s="24"/>
      <c r="G711" s="24"/>
      <c r="H711" s="24"/>
      <c r="I711" s="24"/>
      <c r="J711" s="24"/>
      <c r="M711" s="48"/>
      <c r="N711" s="48"/>
      <c r="O711" s="48"/>
      <c r="P711" s="50"/>
    </row>
    <row r="712" ht="15.0" customHeight="1">
      <c r="B712" s="24"/>
      <c r="C712" s="24"/>
      <c r="D712" s="24"/>
      <c r="E712" s="24"/>
      <c r="F712" s="24"/>
      <c r="G712" s="24"/>
      <c r="H712" s="24"/>
      <c r="I712" s="24"/>
      <c r="J712" s="24"/>
      <c r="M712" s="48"/>
      <c r="N712" s="48"/>
      <c r="O712" s="48"/>
      <c r="P712" s="50"/>
    </row>
    <row r="713" ht="15.0" customHeight="1">
      <c r="B713" s="24"/>
      <c r="C713" s="24"/>
      <c r="D713" s="24"/>
      <c r="E713" s="24"/>
      <c r="F713" s="24"/>
      <c r="G713" s="24"/>
      <c r="H713" s="24"/>
      <c r="I713" s="24"/>
      <c r="J713" s="24"/>
      <c r="M713" s="48"/>
      <c r="N713" s="48"/>
      <c r="O713" s="48"/>
      <c r="P713" s="50"/>
    </row>
    <row r="714" ht="15.0" customHeight="1">
      <c r="B714" s="24"/>
      <c r="C714" s="24"/>
      <c r="D714" s="24"/>
      <c r="E714" s="24"/>
      <c r="F714" s="24"/>
      <c r="G714" s="24"/>
      <c r="H714" s="24"/>
      <c r="I714" s="24"/>
      <c r="J714" s="24"/>
      <c r="M714" s="48"/>
      <c r="N714" s="48"/>
      <c r="O714" s="48"/>
      <c r="P714" s="50"/>
    </row>
    <row r="715" ht="15.0" customHeight="1">
      <c r="B715" s="24"/>
      <c r="C715" s="24"/>
      <c r="D715" s="24"/>
      <c r="E715" s="24"/>
      <c r="F715" s="24"/>
      <c r="G715" s="24"/>
      <c r="H715" s="24"/>
      <c r="I715" s="24"/>
      <c r="J715" s="24"/>
      <c r="M715" s="48"/>
      <c r="N715" s="48"/>
      <c r="O715" s="48"/>
      <c r="P715" s="50"/>
    </row>
    <row r="716" ht="15.0" customHeight="1">
      <c r="B716" s="24"/>
      <c r="C716" s="24"/>
      <c r="D716" s="24"/>
      <c r="E716" s="24"/>
      <c r="F716" s="24"/>
      <c r="G716" s="24"/>
      <c r="H716" s="24"/>
      <c r="I716" s="24"/>
      <c r="J716" s="24"/>
      <c r="M716" s="48"/>
      <c r="N716" s="48"/>
      <c r="O716" s="48"/>
      <c r="P716" s="50"/>
    </row>
    <row r="717" ht="15.0" customHeight="1">
      <c r="B717" s="24"/>
      <c r="C717" s="24"/>
      <c r="D717" s="24"/>
      <c r="E717" s="24"/>
      <c r="F717" s="24"/>
      <c r="G717" s="24"/>
      <c r="H717" s="24"/>
      <c r="I717" s="24"/>
      <c r="J717" s="24"/>
      <c r="M717" s="48"/>
      <c r="N717" s="48"/>
      <c r="O717" s="48"/>
      <c r="P717" s="50"/>
    </row>
    <row r="718" ht="15.0" customHeight="1">
      <c r="B718" s="24"/>
      <c r="C718" s="24"/>
      <c r="D718" s="24"/>
      <c r="E718" s="24"/>
      <c r="F718" s="24"/>
      <c r="G718" s="24"/>
      <c r="H718" s="24"/>
      <c r="I718" s="24"/>
      <c r="J718" s="24"/>
      <c r="M718" s="48"/>
      <c r="N718" s="48"/>
      <c r="O718" s="48"/>
      <c r="P718" s="50"/>
    </row>
    <row r="719" ht="15.0" customHeight="1">
      <c r="B719" s="24"/>
      <c r="C719" s="24"/>
      <c r="D719" s="24"/>
      <c r="E719" s="24"/>
      <c r="F719" s="24"/>
      <c r="G719" s="24"/>
      <c r="H719" s="24"/>
      <c r="I719" s="24"/>
      <c r="J719" s="24"/>
      <c r="M719" s="48"/>
      <c r="N719" s="48"/>
      <c r="O719" s="48"/>
      <c r="P719" s="50"/>
    </row>
    <row r="720" ht="15.0" customHeight="1">
      <c r="B720" s="24"/>
      <c r="C720" s="24"/>
      <c r="D720" s="24"/>
      <c r="E720" s="24"/>
      <c r="F720" s="24"/>
      <c r="G720" s="24"/>
      <c r="H720" s="24"/>
      <c r="I720" s="24"/>
      <c r="J720" s="24"/>
      <c r="M720" s="48"/>
      <c r="N720" s="48"/>
      <c r="O720" s="48"/>
      <c r="P720" s="50"/>
    </row>
    <row r="721" ht="15.0" customHeight="1">
      <c r="B721" s="24"/>
      <c r="C721" s="24"/>
      <c r="D721" s="24"/>
      <c r="E721" s="24"/>
      <c r="F721" s="24"/>
      <c r="G721" s="24"/>
      <c r="H721" s="24"/>
      <c r="I721" s="24"/>
      <c r="J721" s="24"/>
      <c r="M721" s="48"/>
      <c r="N721" s="48"/>
      <c r="O721" s="48"/>
      <c r="P721" s="50"/>
    </row>
    <row r="722" ht="15.0" customHeight="1">
      <c r="B722" s="24"/>
      <c r="C722" s="24"/>
      <c r="D722" s="24"/>
      <c r="E722" s="24"/>
      <c r="F722" s="24"/>
      <c r="G722" s="24"/>
      <c r="H722" s="24"/>
      <c r="I722" s="24"/>
      <c r="J722" s="24"/>
      <c r="M722" s="48"/>
      <c r="N722" s="48"/>
      <c r="O722" s="48"/>
      <c r="P722" s="50"/>
    </row>
    <row r="723" ht="15.0" customHeight="1">
      <c r="B723" s="24"/>
      <c r="C723" s="24"/>
      <c r="D723" s="24"/>
      <c r="E723" s="24"/>
      <c r="F723" s="24"/>
      <c r="G723" s="24"/>
      <c r="H723" s="24"/>
      <c r="I723" s="24"/>
      <c r="J723" s="24"/>
      <c r="M723" s="48"/>
      <c r="N723" s="48"/>
      <c r="O723" s="48"/>
      <c r="P723" s="50"/>
    </row>
    <row r="724" ht="15.0" customHeight="1">
      <c r="B724" s="24"/>
      <c r="C724" s="24"/>
      <c r="D724" s="24"/>
      <c r="E724" s="24"/>
      <c r="F724" s="24"/>
      <c r="G724" s="24"/>
      <c r="H724" s="24"/>
      <c r="I724" s="24"/>
      <c r="J724" s="24"/>
      <c r="M724" s="48"/>
      <c r="N724" s="48"/>
      <c r="O724" s="48"/>
      <c r="P724" s="50"/>
    </row>
    <row r="725" ht="15.0" customHeight="1">
      <c r="B725" s="24"/>
      <c r="C725" s="24"/>
      <c r="D725" s="24"/>
      <c r="E725" s="24"/>
      <c r="F725" s="24"/>
      <c r="G725" s="24"/>
      <c r="H725" s="24"/>
      <c r="I725" s="24"/>
      <c r="J725" s="24"/>
      <c r="M725" s="48"/>
      <c r="N725" s="48"/>
      <c r="O725" s="48"/>
      <c r="P725" s="50"/>
    </row>
    <row r="726" ht="15.0" customHeight="1">
      <c r="B726" s="24"/>
      <c r="C726" s="24"/>
      <c r="D726" s="24"/>
      <c r="E726" s="24"/>
      <c r="F726" s="24"/>
      <c r="G726" s="24"/>
      <c r="H726" s="24"/>
      <c r="I726" s="24"/>
      <c r="J726" s="24"/>
      <c r="M726" s="48"/>
      <c r="N726" s="48"/>
      <c r="O726" s="48"/>
      <c r="P726" s="50"/>
    </row>
    <row r="727" ht="15.0" customHeight="1">
      <c r="B727" s="24"/>
      <c r="C727" s="24"/>
      <c r="D727" s="24"/>
      <c r="E727" s="24"/>
      <c r="F727" s="24"/>
      <c r="G727" s="24"/>
      <c r="H727" s="24"/>
      <c r="I727" s="24"/>
      <c r="J727" s="24"/>
      <c r="M727" s="48"/>
      <c r="N727" s="48"/>
      <c r="O727" s="48"/>
      <c r="P727" s="50"/>
    </row>
    <row r="728" ht="15.0" customHeight="1">
      <c r="B728" s="24"/>
      <c r="C728" s="24"/>
      <c r="D728" s="24"/>
      <c r="E728" s="24"/>
      <c r="F728" s="24"/>
      <c r="G728" s="24"/>
      <c r="H728" s="24"/>
      <c r="I728" s="24"/>
      <c r="J728" s="24"/>
      <c r="M728" s="48"/>
      <c r="N728" s="48"/>
      <c r="O728" s="48"/>
      <c r="P728" s="50"/>
    </row>
    <row r="729" ht="15.0" customHeight="1">
      <c r="B729" s="24"/>
      <c r="C729" s="24"/>
      <c r="D729" s="24"/>
      <c r="E729" s="24"/>
      <c r="F729" s="24"/>
      <c r="G729" s="24"/>
      <c r="H729" s="24"/>
      <c r="I729" s="24"/>
      <c r="J729" s="24"/>
      <c r="M729" s="48"/>
      <c r="N729" s="48"/>
      <c r="O729" s="48"/>
      <c r="P729" s="50"/>
    </row>
    <row r="730" ht="15.0" customHeight="1">
      <c r="B730" s="24"/>
      <c r="C730" s="24"/>
      <c r="D730" s="24"/>
      <c r="E730" s="24"/>
      <c r="F730" s="24"/>
      <c r="G730" s="24"/>
      <c r="H730" s="24"/>
      <c r="I730" s="24"/>
      <c r="J730" s="24"/>
      <c r="M730" s="48"/>
      <c r="N730" s="48"/>
      <c r="O730" s="48"/>
      <c r="P730" s="50"/>
    </row>
    <row r="731" ht="15.0" customHeight="1">
      <c r="B731" s="24"/>
      <c r="C731" s="24"/>
      <c r="D731" s="24"/>
      <c r="E731" s="24"/>
      <c r="F731" s="24"/>
      <c r="G731" s="24"/>
      <c r="H731" s="24"/>
      <c r="I731" s="24"/>
      <c r="J731" s="24"/>
      <c r="M731" s="48"/>
      <c r="N731" s="48"/>
      <c r="O731" s="48"/>
      <c r="P731" s="50"/>
    </row>
    <row r="732" ht="15.0" customHeight="1">
      <c r="B732" s="24"/>
      <c r="C732" s="24"/>
      <c r="D732" s="24"/>
      <c r="E732" s="24"/>
      <c r="F732" s="24"/>
      <c r="G732" s="24"/>
      <c r="H732" s="24"/>
      <c r="I732" s="24"/>
      <c r="J732" s="24"/>
      <c r="M732" s="48"/>
      <c r="N732" s="48"/>
      <c r="O732" s="48"/>
      <c r="P732" s="50"/>
    </row>
    <row r="733" ht="15.0" customHeight="1">
      <c r="B733" s="24"/>
      <c r="C733" s="24"/>
      <c r="D733" s="24"/>
      <c r="E733" s="24"/>
      <c r="F733" s="24"/>
      <c r="G733" s="24"/>
      <c r="H733" s="24"/>
      <c r="I733" s="24"/>
      <c r="J733" s="24"/>
      <c r="M733" s="48"/>
      <c r="N733" s="48"/>
      <c r="O733" s="48"/>
      <c r="P733" s="50"/>
    </row>
    <row r="734" ht="15.0" customHeight="1">
      <c r="B734" s="24"/>
      <c r="C734" s="24"/>
      <c r="D734" s="24"/>
      <c r="E734" s="24"/>
      <c r="F734" s="24"/>
      <c r="G734" s="24"/>
      <c r="H734" s="24"/>
      <c r="I734" s="24"/>
      <c r="J734" s="24"/>
      <c r="M734" s="48"/>
      <c r="N734" s="48"/>
      <c r="O734" s="48"/>
      <c r="P734" s="50"/>
    </row>
    <row r="735" ht="15.0" customHeight="1">
      <c r="B735" s="24"/>
      <c r="C735" s="24"/>
      <c r="D735" s="24"/>
      <c r="E735" s="24"/>
      <c r="F735" s="24"/>
      <c r="G735" s="24"/>
      <c r="H735" s="24"/>
      <c r="I735" s="24"/>
      <c r="J735" s="24"/>
      <c r="M735" s="48"/>
      <c r="N735" s="48"/>
      <c r="O735" s="48"/>
      <c r="P735" s="50"/>
    </row>
    <row r="736" ht="15.0" customHeight="1">
      <c r="B736" s="24"/>
      <c r="C736" s="24"/>
      <c r="D736" s="24"/>
      <c r="E736" s="24"/>
      <c r="F736" s="24"/>
      <c r="G736" s="24"/>
      <c r="H736" s="24"/>
      <c r="I736" s="24"/>
      <c r="J736" s="24"/>
      <c r="M736" s="48"/>
      <c r="N736" s="48"/>
      <c r="O736" s="48"/>
      <c r="P736" s="50"/>
    </row>
    <row r="737" ht="15.0" customHeight="1">
      <c r="B737" s="24"/>
      <c r="C737" s="24"/>
      <c r="D737" s="24"/>
      <c r="E737" s="24"/>
      <c r="F737" s="24"/>
      <c r="G737" s="24"/>
      <c r="H737" s="24"/>
      <c r="I737" s="24"/>
      <c r="J737" s="24"/>
      <c r="M737" s="48"/>
      <c r="N737" s="48"/>
      <c r="O737" s="48"/>
      <c r="P737" s="50"/>
    </row>
    <row r="738" ht="15.0" customHeight="1">
      <c r="B738" s="24"/>
      <c r="C738" s="24"/>
      <c r="D738" s="24"/>
      <c r="E738" s="24"/>
      <c r="F738" s="24"/>
      <c r="G738" s="24"/>
      <c r="H738" s="24"/>
      <c r="I738" s="24"/>
      <c r="J738" s="24"/>
      <c r="M738" s="48"/>
      <c r="N738" s="48"/>
      <c r="O738" s="48"/>
      <c r="P738" s="50"/>
    </row>
    <row r="739" ht="15.0" customHeight="1">
      <c r="B739" s="24"/>
      <c r="C739" s="24"/>
      <c r="D739" s="24"/>
      <c r="E739" s="24"/>
      <c r="F739" s="24"/>
      <c r="G739" s="24"/>
      <c r="H739" s="24"/>
      <c r="I739" s="24"/>
      <c r="J739" s="24"/>
      <c r="M739" s="48"/>
      <c r="N739" s="48"/>
      <c r="O739" s="48"/>
      <c r="P739" s="50"/>
    </row>
    <row r="740" ht="15.0" customHeight="1">
      <c r="B740" s="24"/>
      <c r="C740" s="24"/>
      <c r="D740" s="24"/>
      <c r="E740" s="24"/>
      <c r="F740" s="24"/>
      <c r="G740" s="24"/>
      <c r="H740" s="24"/>
      <c r="I740" s="24"/>
      <c r="J740" s="24"/>
      <c r="M740" s="48"/>
      <c r="N740" s="48"/>
      <c r="O740" s="48"/>
      <c r="P740" s="50"/>
    </row>
    <row r="741" ht="15.0" customHeight="1">
      <c r="B741" s="24"/>
      <c r="C741" s="24"/>
      <c r="D741" s="24"/>
      <c r="E741" s="24"/>
      <c r="F741" s="24"/>
      <c r="G741" s="24"/>
      <c r="H741" s="24"/>
      <c r="I741" s="24"/>
      <c r="J741" s="24"/>
      <c r="M741" s="48"/>
      <c r="N741" s="48"/>
      <c r="O741" s="48"/>
      <c r="P741" s="50"/>
    </row>
    <row r="742" ht="15.0" customHeight="1">
      <c r="B742" s="24"/>
      <c r="C742" s="24"/>
      <c r="D742" s="24"/>
      <c r="E742" s="24"/>
      <c r="F742" s="24"/>
      <c r="G742" s="24"/>
      <c r="H742" s="24"/>
      <c r="I742" s="24"/>
      <c r="J742" s="24"/>
      <c r="M742" s="48"/>
      <c r="N742" s="48"/>
      <c r="O742" s="48"/>
      <c r="P742" s="50"/>
    </row>
    <row r="743" ht="15.0" customHeight="1">
      <c r="B743" s="24"/>
      <c r="C743" s="24"/>
      <c r="D743" s="24"/>
      <c r="E743" s="24"/>
      <c r="F743" s="24"/>
      <c r="G743" s="24"/>
      <c r="H743" s="24"/>
      <c r="I743" s="24"/>
      <c r="J743" s="24"/>
      <c r="M743" s="48"/>
      <c r="N743" s="48"/>
      <c r="O743" s="48"/>
      <c r="P743" s="50"/>
    </row>
    <row r="744" ht="15.0" customHeight="1">
      <c r="B744" s="24"/>
      <c r="C744" s="24"/>
      <c r="D744" s="24"/>
      <c r="E744" s="24"/>
      <c r="F744" s="24"/>
      <c r="G744" s="24"/>
      <c r="H744" s="24"/>
      <c r="I744" s="24"/>
      <c r="J744" s="24"/>
      <c r="M744" s="48"/>
      <c r="N744" s="48"/>
      <c r="O744" s="48"/>
      <c r="P744" s="50"/>
    </row>
    <row r="745" ht="15.0" customHeight="1">
      <c r="B745" s="24"/>
      <c r="C745" s="24"/>
      <c r="D745" s="24"/>
      <c r="E745" s="24"/>
      <c r="F745" s="24"/>
      <c r="G745" s="24"/>
      <c r="H745" s="24"/>
      <c r="I745" s="24"/>
      <c r="J745" s="24"/>
      <c r="M745" s="48"/>
      <c r="N745" s="48"/>
      <c r="O745" s="48"/>
      <c r="P745" s="50"/>
    </row>
    <row r="746" ht="15.0" customHeight="1">
      <c r="B746" s="24"/>
      <c r="C746" s="24"/>
      <c r="D746" s="24"/>
      <c r="E746" s="24"/>
      <c r="F746" s="24"/>
      <c r="G746" s="24"/>
      <c r="H746" s="24"/>
      <c r="I746" s="24"/>
      <c r="J746" s="24"/>
      <c r="M746" s="48"/>
      <c r="N746" s="48"/>
      <c r="O746" s="48"/>
      <c r="P746" s="50"/>
    </row>
    <row r="747" ht="15.0" customHeight="1">
      <c r="B747" s="24"/>
      <c r="C747" s="24"/>
      <c r="D747" s="24"/>
      <c r="E747" s="24"/>
      <c r="F747" s="24"/>
      <c r="G747" s="24"/>
      <c r="H747" s="24"/>
      <c r="I747" s="24"/>
      <c r="J747" s="24"/>
      <c r="M747" s="48"/>
      <c r="N747" s="48"/>
      <c r="O747" s="48"/>
      <c r="P747" s="50"/>
    </row>
    <row r="748" ht="15.0" customHeight="1">
      <c r="B748" s="24"/>
      <c r="C748" s="24"/>
      <c r="D748" s="24"/>
      <c r="E748" s="24"/>
      <c r="F748" s="24"/>
      <c r="G748" s="24"/>
      <c r="H748" s="24"/>
      <c r="I748" s="24"/>
      <c r="J748" s="24"/>
      <c r="M748" s="48"/>
      <c r="N748" s="48"/>
      <c r="O748" s="48"/>
      <c r="P748" s="50"/>
    </row>
    <row r="749" ht="15.0" customHeight="1">
      <c r="B749" s="24"/>
      <c r="C749" s="24"/>
      <c r="D749" s="24"/>
      <c r="E749" s="24"/>
      <c r="F749" s="24"/>
      <c r="G749" s="24"/>
      <c r="H749" s="24"/>
      <c r="I749" s="24"/>
      <c r="J749" s="24"/>
      <c r="M749" s="48"/>
      <c r="N749" s="48"/>
      <c r="O749" s="48"/>
      <c r="P749" s="50"/>
    </row>
    <row r="750" ht="15.0" customHeight="1">
      <c r="B750" s="24"/>
      <c r="C750" s="24"/>
      <c r="D750" s="24"/>
      <c r="E750" s="24"/>
      <c r="F750" s="24"/>
      <c r="G750" s="24"/>
      <c r="H750" s="24"/>
      <c r="I750" s="24"/>
      <c r="J750" s="24"/>
      <c r="M750" s="48"/>
      <c r="N750" s="48"/>
      <c r="O750" s="48"/>
      <c r="P750" s="50"/>
    </row>
    <row r="751" ht="15.0" customHeight="1">
      <c r="B751" s="24"/>
      <c r="C751" s="24"/>
      <c r="D751" s="24"/>
      <c r="E751" s="24"/>
      <c r="F751" s="24"/>
      <c r="G751" s="24"/>
      <c r="H751" s="24"/>
      <c r="I751" s="24"/>
      <c r="J751" s="24"/>
      <c r="M751" s="48"/>
      <c r="N751" s="48"/>
      <c r="O751" s="48"/>
      <c r="P751" s="50"/>
    </row>
    <row r="752" ht="15.0" customHeight="1">
      <c r="B752" s="24"/>
      <c r="C752" s="24"/>
      <c r="D752" s="24"/>
      <c r="E752" s="24"/>
      <c r="F752" s="24"/>
      <c r="G752" s="24"/>
      <c r="H752" s="24"/>
      <c r="I752" s="24"/>
      <c r="J752" s="24"/>
      <c r="M752" s="48"/>
      <c r="N752" s="48"/>
      <c r="O752" s="48"/>
      <c r="P752" s="50"/>
    </row>
    <row r="753" ht="15.0" customHeight="1">
      <c r="B753" s="24"/>
      <c r="C753" s="24"/>
      <c r="D753" s="24"/>
      <c r="E753" s="24"/>
      <c r="F753" s="24"/>
      <c r="G753" s="24"/>
      <c r="H753" s="24"/>
      <c r="I753" s="24"/>
      <c r="J753" s="24"/>
      <c r="M753" s="48"/>
      <c r="N753" s="48"/>
      <c r="O753" s="48"/>
      <c r="P753" s="50"/>
    </row>
    <row r="754" ht="15.0" customHeight="1">
      <c r="B754" s="24"/>
      <c r="C754" s="24"/>
      <c r="D754" s="24"/>
      <c r="E754" s="24"/>
      <c r="F754" s="24"/>
      <c r="G754" s="24"/>
      <c r="H754" s="24"/>
      <c r="I754" s="24"/>
      <c r="J754" s="24"/>
      <c r="M754" s="48"/>
      <c r="N754" s="48"/>
      <c r="O754" s="48"/>
      <c r="P754" s="50"/>
    </row>
    <row r="755" ht="15.0" customHeight="1">
      <c r="B755" s="24"/>
      <c r="C755" s="24"/>
      <c r="D755" s="24"/>
      <c r="E755" s="24"/>
      <c r="F755" s="24"/>
      <c r="G755" s="24"/>
      <c r="H755" s="24"/>
      <c r="I755" s="24"/>
      <c r="J755" s="24"/>
      <c r="M755" s="48"/>
      <c r="N755" s="48"/>
      <c r="O755" s="48"/>
      <c r="P755" s="50"/>
    </row>
    <row r="756" ht="15.0" customHeight="1">
      <c r="B756" s="24"/>
      <c r="C756" s="24"/>
      <c r="D756" s="24"/>
      <c r="E756" s="24"/>
      <c r="F756" s="24"/>
      <c r="G756" s="24"/>
      <c r="H756" s="24"/>
      <c r="I756" s="24"/>
      <c r="J756" s="24"/>
      <c r="M756" s="48"/>
      <c r="N756" s="48"/>
      <c r="O756" s="48"/>
      <c r="P756" s="50"/>
    </row>
    <row r="757" ht="15.0" customHeight="1">
      <c r="B757" s="24"/>
      <c r="C757" s="24"/>
      <c r="D757" s="24"/>
      <c r="E757" s="24"/>
      <c r="F757" s="24"/>
      <c r="G757" s="24"/>
      <c r="H757" s="24"/>
      <c r="I757" s="24"/>
      <c r="J757" s="24"/>
      <c r="M757" s="48"/>
      <c r="N757" s="48"/>
      <c r="O757" s="48"/>
      <c r="P757" s="50"/>
    </row>
    <row r="758" ht="15.0" customHeight="1">
      <c r="B758" s="24"/>
      <c r="C758" s="24"/>
      <c r="D758" s="24"/>
      <c r="E758" s="24"/>
      <c r="F758" s="24"/>
      <c r="G758" s="24"/>
      <c r="H758" s="24"/>
      <c r="I758" s="24"/>
      <c r="J758" s="24"/>
      <c r="M758" s="48"/>
      <c r="N758" s="48"/>
      <c r="O758" s="48"/>
      <c r="P758" s="50"/>
    </row>
    <row r="759" ht="15.0" customHeight="1">
      <c r="B759" s="24"/>
      <c r="C759" s="24"/>
      <c r="D759" s="24"/>
      <c r="E759" s="24"/>
      <c r="F759" s="24"/>
      <c r="G759" s="24"/>
      <c r="H759" s="24"/>
      <c r="I759" s="24"/>
      <c r="J759" s="24"/>
      <c r="M759" s="48"/>
      <c r="N759" s="48"/>
      <c r="O759" s="48"/>
      <c r="P759" s="50"/>
    </row>
    <row r="760" ht="15.0" customHeight="1">
      <c r="B760" s="24"/>
      <c r="C760" s="24"/>
      <c r="D760" s="24"/>
      <c r="E760" s="24"/>
      <c r="F760" s="24"/>
      <c r="G760" s="24"/>
      <c r="H760" s="24"/>
      <c r="I760" s="24"/>
      <c r="J760" s="24"/>
      <c r="M760" s="48"/>
      <c r="N760" s="48"/>
      <c r="O760" s="48"/>
      <c r="P760" s="50"/>
    </row>
    <row r="761" ht="15.0" customHeight="1">
      <c r="B761" s="24"/>
      <c r="C761" s="24"/>
      <c r="D761" s="24"/>
      <c r="E761" s="24"/>
      <c r="F761" s="24"/>
      <c r="G761" s="24"/>
      <c r="H761" s="24"/>
      <c r="I761" s="24"/>
      <c r="J761" s="24"/>
      <c r="M761" s="48"/>
      <c r="N761" s="48"/>
      <c r="O761" s="48"/>
      <c r="P761" s="50"/>
    </row>
    <row r="762" ht="15.0" customHeight="1">
      <c r="B762" s="24"/>
      <c r="C762" s="24"/>
      <c r="D762" s="24"/>
      <c r="E762" s="24"/>
      <c r="F762" s="24"/>
      <c r="G762" s="24"/>
      <c r="H762" s="24"/>
      <c r="I762" s="24"/>
      <c r="J762" s="24"/>
      <c r="M762" s="48"/>
      <c r="N762" s="48"/>
      <c r="O762" s="48"/>
      <c r="P762" s="50"/>
    </row>
    <row r="763" ht="15.0" customHeight="1">
      <c r="B763" s="24"/>
      <c r="C763" s="24"/>
      <c r="D763" s="24"/>
      <c r="E763" s="24"/>
      <c r="F763" s="24"/>
      <c r="G763" s="24"/>
      <c r="H763" s="24"/>
      <c r="I763" s="24"/>
      <c r="J763" s="24"/>
      <c r="M763" s="48"/>
      <c r="N763" s="48"/>
      <c r="O763" s="48"/>
      <c r="P763" s="50"/>
    </row>
    <row r="764" ht="15.0" customHeight="1">
      <c r="B764" s="24"/>
      <c r="C764" s="24"/>
      <c r="D764" s="24"/>
      <c r="E764" s="24"/>
      <c r="F764" s="24"/>
      <c r="G764" s="24"/>
      <c r="H764" s="24"/>
      <c r="I764" s="24"/>
      <c r="J764" s="24"/>
      <c r="M764" s="48"/>
      <c r="N764" s="48"/>
      <c r="O764" s="48"/>
      <c r="P764" s="50"/>
    </row>
    <row r="765" ht="15.0" customHeight="1">
      <c r="B765" s="24"/>
      <c r="C765" s="24"/>
      <c r="D765" s="24"/>
      <c r="E765" s="24"/>
      <c r="F765" s="24"/>
      <c r="G765" s="24"/>
      <c r="H765" s="24"/>
      <c r="I765" s="24"/>
      <c r="J765" s="24"/>
      <c r="M765" s="48"/>
      <c r="N765" s="48"/>
      <c r="O765" s="48"/>
      <c r="P765" s="50"/>
    </row>
    <row r="766" ht="15.0" customHeight="1">
      <c r="B766" s="24"/>
      <c r="C766" s="24"/>
      <c r="D766" s="24"/>
      <c r="E766" s="24"/>
      <c r="F766" s="24"/>
      <c r="G766" s="24"/>
      <c r="H766" s="24"/>
      <c r="I766" s="24"/>
      <c r="J766" s="24"/>
      <c r="M766" s="48"/>
      <c r="N766" s="48"/>
      <c r="O766" s="48"/>
      <c r="P766" s="50"/>
    </row>
    <row r="767" ht="15.0" customHeight="1">
      <c r="B767" s="24"/>
      <c r="C767" s="24"/>
      <c r="D767" s="24"/>
      <c r="E767" s="24"/>
      <c r="F767" s="24"/>
      <c r="G767" s="24"/>
      <c r="H767" s="24"/>
      <c r="I767" s="24"/>
      <c r="J767" s="24"/>
      <c r="M767" s="48"/>
      <c r="N767" s="48"/>
      <c r="O767" s="48"/>
      <c r="P767" s="50"/>
    </row>
    <row r="768" ht="15.0" customHeight="1">
      <c r="B768" s="24"/>
      <c r="C768" s="24"/>
      <c r="D768" s="24"/>
      <c r="E768" s="24"/>
      <c r="F768" s="24"/>
      <c r="G768" s="24"/>
      <c r="H768" s="24"/>
      <c r="I768" s="24"/>
      <c r="J768" s="24"/>
      <c r="M768" s="48"/>
      <c r="N768" s="48"/>
      <c r="O768" s="48"/>
      <c r="P768" s="50"/>
    </row>
    <row r="769" ht="15.0" customHeight="1">
      <c r="B769" s="24"/>
      <c r="C769" s="24"/>
      <c r="D769" s="24"/>
      <c r="E769" s="24"/>
      <c r="F769" s="24"/>
      <c r="G769" s="24"/>
      <c r="H769" s="24"/>
      <c r="I769" s="24"/>
      <c r="J769" s="24"/>
      <c r="M769" s="48"/>
      <c r="N769" s="48"/>
      <c r="O769" s="48"/>
      <c r="P769" s="50"/>
    </row>
    <row r="770" ht="15.0" customHeight="1">
      <c r="B770" s="24"/>
      <c r="C770" s="24"/>
      <c r="D770" s="24"/>
      <c r="E770" s="24"/>
      <c r="F770" s="24"/>
      <c r="G770" s="24"/>
      <c r="H770" s="24"/>
      <c r="I770" s="24"/>
      <c r="J770" s="24"/>
      <c r="M770" s="48"/>
      <c r="N770" s="48"/>
      <c r="O770" s="48"/>
      <c r="P770" s="50"/>
    </row>
    <row r="771" ht="15.0" customHeight="1">
      <c r="B771" s="24"/>
      <c r="C771" s="24"/>
      <c r="D771" s="24"/>
      <c r="E771" s="24"/>
      <c r="F771" s="24"/>
      <c r="G771" s="24"/>
      <c r="H771" s="24"/>
      <c r="I771" s="24"/>
      <c r="J771" s="24"/>
      <c r="M771" s="48"/>
      <c r="N771" s="48"/>
      <c r="O771" s="48"/>
      <c r="P771" s="50"/>
    </row>
    <row r="772" ht="15.0" customHeight="1">
      <c r="B772" s="24"/>
      <c r="C772" s="24"/>
      <c r="D772" s="24"/>
      <c r="E772" s="24"/>
      <c r="F772" s="24"/>
      <c r="G772" s="24"/>
      <c r="H772" s="24"/>
      <c r="I772" s="24"/>
      <c r="J772" s="24"/>
      <c r="M772" s="48"/>
      <c r="N772" s="48"/>
      <c r="O772" s="48"/>
      <c r="P772" s="50"/>
    </row>
    <row r="773" ht="15.0" customHeight="1">
      <c r="B773" s="24"/>
      <c r="C773" s="24"/>
      <c r="D773" s="24"/>
      <c r="E773" s="24"/>
      <c r="F773" s="24"/>
      <c r="G773" s="24"/>
      <c r="H773" s="24"/>
      <c r="I773" s="24"/>
      <c r="J773" s="24"/>
      <c r="M773" s="48"/>
      <c r="N773" s="48"/>
      <c r="O773" s="48"/>
      <c r="P773" s="50"/>
    </row>
    <row r="774" ht="15.0" customHeight="1">
      <c r="B774" s="24"/>
      <c r="C774" s="24"/>
      <c r="D774" s="24"/>
      <c r="E774" s="24"/>
      <c r="F774" s="24"/>
      <c r="G774" s="24"/>
      <c r="H774" s="24"/>
      <c r="I774" s="24"/>
      <c r="J774" s="24"/>
      <c r="M774" s="48"/>
      <c r="N774" s="48"/>
      <c r="O774" s="48"/>
      <c r="P774" s="50"/>
    </row>
    <row r="775" ht="15.0" customHeight="1">
      <c r="B775" s="24"/>
      <c r="C775" s="24"/>
      <c r="D775" s="24"/>
      <c r="E775" s="24"/>
      <c r="F775" s="24"/>
      <c r="G775" s="24"/>
      <c r="H775" s="24"/>
      <c r="I775" s="24"/>
      <c r="J775" s="24"/>
      <c r="M775" s="48"/>
      <c r="N775" s="48"/>
      <c r="O775" s="48"/>
      <c r="P775" s="50"/>
    </row>
    <row r="776" ht="15.0" customHeight="1">
      <c r="B776" s="24"/>
      <c r="C776" s="24"/>
      <c r="D776" s="24"/>
      <c r="E776" s="24"/>
      <c r="F776" s="24"/>
      <c r="G776" s="24"/>
      <c r="H776" s="24"/>
      <c r="I776" s="24"/>
      <c r="J776" s="24"/>
      <c r="M776" s="48"/>
      <c r="N776" s="48"/>
      <c r="O776" s="48"/>
      <c r="P776" s="50"/>
    </row>
    <row r="777" ht="15.0" customHeight="1">
      <c r="B777" s="24"/>
      <c r="C777" s="24"/>
      <c r="D777" s="24"/>
      <c r="E777" s="24"/>
      <c r="F777" s="24"/>
      <c r="G777" s="24"/>
      <c r="H777" s="24"/>
      <c r="I777" s="24"/>
      <c r="J777" s="24"/>
      <c r="M777" s="48"/>
      <c r="N777" s="48"/>
      <c r="O777" s="48"/>
      <c r="P777" s="50"/>
    </row>
    <row r="778" ht="15.0" customHeight="1">
      <c r="B778" s="24"/>
      <c r="C778" s="24"/>
      <c r="D778" s="24"/>
      <c r="E778" s="24"/>
      <c r="F778" s="24"/>
      <c r="G778" s="24"/>
      <c r="H778" s="24"/>
      <c r="I778" s="24"/>
      <c r="J778" s="24"/>
      <c r="M778" s="48"/>
      <c r="N778" s="48"/>
      <c r="O778" s="48"/>
      <c r="P778" s="50"/>
    </row>
    <row r="779" ht="15.0" customHeight="1">
      <c r="B779" s="24"/>
      <c r="C779" s="24"/>
      <c r="D779" s="24"/>
      <c r="E779" s="24"/>
      <c r="F779" s="24"/>
      <c r="G779" s="24"/>
      <c r="H779" s="24"/>
      <c r="I779" s="24"/>
      <c r="J779" s="24"/>
      <c r="M779" s="48"/>
      <c r="N779" s="48"/>
      <c r="O779" s="48"/>
      <c r="P779" s="50"/>
    </row>
    <row r="780" ht="15.0" customHeight="1">
      <c r="B780" s="24"/>
      <c r="C780" s="24"/>
      <c r="D780" s="24"/>
      <c r="E780" s="24"/>
      <c r="F780" s="24"/>
      <c r="G780" s="24"/>
      <c r="H780" s="24"/>
      <c r="I780" s="24"/>
      <c r="J780" s="24"/>
      <c r="M780" s="48"/>
      <c r="N780" s="48"/>
      <c r="O780" s="48"/>
      <c r="P780" s="50"/>
    </row>
    <row r="781" ht="15.0" customHeight="1">
      <c r="B781" s="24"/>
      <c r="C781" s="24"/>
      <c r="D781" s="24"/>
      <c r="E781" s="24"/>
      <c r="F781" s="24"/>
      <c r="G781" s="24"/>
      <c r="H781" s="24"/>
      <c r="I781" s="24"/>
      <c r="J781" s="24"/>
      <c r="M781" s="48"/>
      <c r="N781" s="48"/>
      <c r="O781" s="48"/>
      <c r="P781" s="50"/>
    </row>
    <row r="782" ht="15.0" customHeight="1">
      <c r="B782" s="24"/>
      <c r="C782" s="24"/>
      <c r="D782" s="24"/>
      <c r="E782" s="24"/>
      <c r="F782" s="24"/>
      <c r="G782" s="24"/>
      <c r="H782" s="24"/>
      <c r="I782" s="24"/>
      <c r="J782" s="24"/>
      <c r="M782" s="48"/>
      <c r="N782" s="48"/>
      <c r="O782" s="48"/>
      <c r="P782" s="50"/>
    </row>
    <row r="783" ht="15.0" customHeight="1">
      <c r="B783" s="24"/>
      <c r="C783" s="24"/>
      <c r="D783" s="24"/>
      <c r="E783" s="24"/>
      <c r="F783" s="24"/>
      <c r="G783" s="24"/>
      <c r="H783" s="24"/>
      <c r="I783" s="24"/>
      <c r="J783" s="24"/>
      <c r="M783" s="48"/>
      <c r="N783" s="48"/>
      <c r="O783" s="48"/>
      <c r="P783" s="50"/>
    </row>
    <row r="784" ht="15.0" customHeight="1">
      <c r="B784" s="24"/>
      <c r="C784" s="24"/>
      <c r="D784" s="24"/>
      <c r="E784" s="24"/>
      <c r="F784" s="24"/>
      <c r="G784" s="24"/>
      <c r="H784" s="24"/>
      <c r="I784" s="24"/>
      <c r="J784" s="24"/>
      <c r="M784" s="48"/>
      <c r="N784" s="48"/>
      <c r="O784" s="48"/>
      <c r="P784" s="50"/>
    </row>
    <row r="785" ht="15.0" customHeight="1">
      <c r="B785" s="24"/>
      <c r="C785" s="24"/>
      <c r="D785" s="24"/>
      <c r="E785" s="24"/>
      <c r="F785" s="24"/>
      <c r="G785" s="24"/>
      <c r="H785" s="24"/>
      <c r="I785" s="24"/>
      <c r="J785" s="24"/>
      <c r="M785" s="48"/>
      <c r="N785" s="48"/>
      <c r="O785" s="48"/>
      <c r="P785" s="50"/>
    </row>
    <row r="786" ht="15.0" customHeight="1">
      <c r="B786" s="24"/>
      <c r="C786" s="24"/>
      <c r="D786" s="24"/>
      <c r="E786" s="24"/>
      <c r="F786" s="24"/>
      <c r="G786" s="24"/>
      <c r="H786" s="24"/>
      <c r="I786" s="24"/>
      <c r="J786" s="24"/>
      <c r="M786" s="48"/>
      <c r="N786" s="48"/>
      <c r="O786" s="48"/>
      <c r="P786" s="50"/>
    </row>
    <row r="787" ht="15.0" customHeight="1">
      <c r="B787" s="24"/>
      <c r="C787" s="24"/>
      <c r="D787" s="24"/>
      <c r="E787" s="24"/>
      <c r="F787" s="24"/>
      <c r="G787" s="24"/>
      <c r="H787" s="24"/>
      <c r="I787" s="24"/>
      <c r="J787" s="24"/>
      <c r="M787" s="48"/>
      <c r="N787" s="48"/>
      <c r="O787" s="48"/>
      <c r="P787" s="50"/>
    </row>
    <row r="788" ht="15.0" customHeight="1">
      <c r="B788" s="24"/>
      <c r="C788" s="24"/>
      <c r="D788" s="24"/>
      <c r="E788" s="24"/>
      <c r="F788" s="24"/>
      <c r="G788" s="24"/>
      <c r="H788" s="24"/>
      <c r="I788" s="24"/>
      <c r="J788" s="24"/>
      <c r="M788" s="48"/>
      <c r="N788" s="48"/>
      <c r="O788" s="48"/>
      <c r="P788" s="50"/>
    </row>
    <row r="789" ht="15.0" customHeight="1">
      <c r="B789" s="24"/>
      <c r="C789" s="24"/>
      <c r="D789" s="24"/>
      <c r="E789" s="24"/>
      <c r="F789" s="24"/>
      <c r="G789" s="24"/>
      <c r="H789" s="24"/>
      <c r="I789" s="24"/>
      <c r="J789" s="24"/>
      <c r="M789" s="48"/>
      <c r="N789" s="48"/>
      <c r="O789" s="48"/>
      <c r="P789" s="50"/>
    </row>
    <row r="790" ht="15.0" customHeight="1">
      <c r="B790" s="24"/>
      <c r="C790" s="24"/>
      <c r="D790" s="24"/>
      <c r="E790" s="24"/>
      <c r="F790" s="24"/>
      <c r="G790" s="24"/>
      <c r="H790" s="24"/>
      <c r="I790" s="24"/>
      <c r="J790" s="24"/>
      <c r="M790" s="48"/>
      <c r="N790" s="48"/>
      <c r="O790" s="48"/>
      <c r="P790" s="50"/>
    </row>
    <row r="791" ht="15.0" customHeight="1">
      <c r="B791" s="24"/>
      <c r="C791" s="24"/>
      <c r="D791" s="24"/>
      <c r="E791" s="24"/>
      <c r="F791" s="24"/>
      <c r="G791" s="24"/>
      <c r="H791" s="24"/>
      <c r="I791" s="24"/>
      <c r="J791" s="24"/>
      <c r="M791" s="48"/>
      <c r="N791" s="48"/>
      <c r="O791" s="48"/>
      <c r="P791" s="50"/>
    </row>
    <row r="792" ht="15.0" customHeight="1">
      <c r="B792" s="24"/>
      <c r="C792" s="24"/>
      <c r="D792" s="24"/>
      <c r="E792" s="24"/>
      <c r="F792" s="24"/>
      <c r="G792" s="24"/>
      <c r="H792" s="24"/>
      <c r="I792" s="24"/>
      <c r="J792" s="24"/>
      <c r="M792" s="48"/>
      <c r="N792" s="48"/>
      <c r="O792" s="48"/>
      <c r="P792" s="50"/>
    </row>
    <row r="793" ht="15.0" customHeight="1">
      <c r="B793" s="24"/>
      <c r="C793" s="24"/>
      <c r="D793" s="24"/>
      <c r="E793" s="24"/>
      <c r="F793" s="24"/>
      <c r="G793" s="24"/>
      <c r="H793" s="24"/>
      <c r="I793" s="24"/>
      <c r="J793" s="24"/>
      <c r="M793" s="48"/>
      <c r="N793" s="48"/>
      <c r="O793" s="48"/>
      <c r="P793" s="50"/>
    </row>
    <row r="794" ht="15.0" customHeight="1">
      <c r="B794" s="24"/>
      <c r="C794" s="24"/>
      <c r="D794" s="24"/>
      <c r="E794" s="24"/>
      <c r="F794" s="24"/>
      <c r="G794" s="24"/>
      <c r="H794" s="24"/>
      <c r="I794" s="24"/>
      <c r="J794" s="24"/>
      <c r="M794" s="48"/>
      <c r="N794" s="48"/>
      <c r="O794" s="48"/>
      <c r="P794" s="50"/>
    </row>
    <row r="795" ht="15.0" customHeight="1">
      <c r="B795" s="24"/>
      <c r="C795" s="24"/>
      <c r="D795" s="24"/>
      <c r="E795" s="24"/>
      <c r="F795" s="24"/>
      <c r="G795" s="24"/>
      <c r="H795" s="24"/>
      <c r="I795" s="24"/>
      <c r="J795" s="24"/>
      <c r="M795" s="48"/>
      <c r="N795" s="48"/>
      <c r="O795" s="48"/>
      <c r="P795" s="50"/>
    </row>
    <row r="796" ht="15.0" customHeight="1">
      <c r="B796" s="24"/>
      <c r="C796" s="24"/>
      <c r="D796" s="24"/>
      <c r="E796" s="24"/>
      <c r="F796" s="24"/>
      <c r="G796" s="24"/>
      <c r="H796" s="24"/>
      <c r="I796" s="24"/>
      <c r="J796" s="24"/>
      <c r="M796" s="48"/>
      <c r="N796" s="48"/>
      <c r="O796" s="48"/>
      <c r="P796" s="50"/>
    </row>
    <row r="797" ht="15.0" customHeight="1">
      <c r="B797" s="24"/>
      <c r="C797" s="24"/>
      <c r="D797" s="24"/>
      <c r="E797" s="24"/>
      <c r="F797" s="24"/>
      <c r="G797" s="24"/>
      <c r="H797" s="24"/>
      <c r="I797" s="24"/>
      <c r="J797" s="24"/>
      <c r="M797" s="48"/>
      <c r="N797" s="48"/>
      <c r="O797" s="48"/>
      <c r="P797" s="50"/>
    </row>
    <row r="798" ht="15.0" customHeight="1">
      <c r="B798" s="24"/>
      <c r="C798" s="24"/>
      <c r="D798" s="24"/>
      <c r="E798" s="24"/>
      <c r="F798" s="24"/>
      <c r="G798" s="24"/>
      <c r="H798" s="24"/>
      <c r="I798" s="24"/>
      <c r="J798" s="24"/>
      <c r="M798" s="48"/>
      <c r="N798" s="48"/>
      <c r="O798" s="48"/>
      <c r="P798" s="50"/>
    </row>
    <row r="799" ht="15.0" customHeight="1">
      <c r="B799" s="24"/>
      <c r="C799" s="24"/>
      <c r="D799" s="24"/>
      <c r="E799" s="24"/>
      <c r="F799" s="24"/>
      <c r="G799" s="24"/>
      <c r="H799" s="24"/>
      <c r="I799" s="24"/>
      <c r="J799" s="24"/>
      <c r="M799" s="48"/>
      <c r="N799" s="48"/>
      <c r="O799" s="48"/>
      <c r="P799" s="50"/>
    </row>
    <row r="800" ht="15.0" customHeight="1">
      <c r="B800" s="24"/>
      <c r="C800" s="24"/>
      <c r="D800" s="24"/>
      <c r="E800" s="24"/>
      <c r="F800" s="24"/>
      <c r="G800" s="24"/>
      <c r="H800" s="24"/>
      <c r="I800" s="24"/>
      <c r="J800" s="24"/>
      <c r="M800" s="48"/>
      <c r="N800" s="48"/>
      <c r="O800" s="48"/>
      <c r="P800" s="50"/>
    </row>
    <row r="801" ht="15.0" customHeight="1">
      <c r="B801" s="24"/>
      <c r="C801" s="24"/>
      <c r="D801" s="24"/>
      <c r="E801" s="24"/>
      <c r="F801" s="24"/>
      <c r="G801" s="24"/>
      <c r="H801" s="24"/>
      <c r="I801" s="24"/>
      <c r="J801" s="24"/>
      <c r="M801" s="48"/>
      <c r="N801" s="48"/>
      <c r="O801" s="48"/>
      <c r="P801" s="50"/>
    </row>
    <row r="802" ht="15.0" customHeight="1">
      <c r="B802" s="24"/>
      <c r="C802" s="24"/>
      <c r="D802" s="24"/>
      <c r="E802" s="24"/>
      <c r="F802" s="24"/>
      <c r="G802" s="24"/>
      <c r="H802" s="24"/>
      <c r="I802" s="24"/>
      <c r="J802" s="24"/>
      <c r="M802" s="48"/>
      <c r="N802" s="48"/>
      <c r="O802" s="48"/>
      <c r="P802" s="50"/>
    </row>
    <row r="803" ht="15.0" customHeight="1">
      <c r="B803" s="24"/>
      <c r="C803" s="24"/>
      <c r="D803" s="24"/>
      <c r="E803" s="24"/>
      <c r="F803" s="24"/>
      <c r="G803" s="24"/>
      <c r="H803" s="24"/>
      <c r="I803" s="24"/>
      <c r="J803" s="24"/>
      <c r="M803" s="48"/>
      <c r="N803" s="48"/>
      <c r="O803" s="48"/>
      <c r="P803" s="50"/>
    </row>
    <row r="804" ht="15.0" customHeight="1">
      <c r="B804" s="24"/>
      <c r="C804" s="24"/>
      <c r="D804" s="24"/>
      <c r="E804" s="24"/>
      <c r="F804" s="24"/>
      <c r="G804" s="24"/>
      <c r="H804" s="24"/>
      <c r="I804" s="24"/>
      <c r="J804" s="24"/>
      <c r="M804" s="48"/>
      <c r="N804" s="48"/>
      <c r="O804" s="48"/>
      <c r="P804" s="50"/>
    </row>
    <row r="805" ht="15.0" customHeight="1">
      <c r="B805" s="24"/>
      <c r="C805" s="24"/>
      <c r="D805" s="24"/>
      <c r="E805" s="24"/>
      <c r="F805" s="24"/>
      <c r="G805" s="24"/>
      <c r="H805" s="24"/>
      <c r="I805" s="24"/>
      <c r="J805" s="24"/>
      <c r="M805" s="48"/>
      <c r="N805" s="48"/>
      <c r="O805" s="48"/>
      <c r="P805" s="50"/>
    </row>
    <row r="806" ht="15.0" customHeight="1">
      <c r="B806" s="24"/>
      <c r="C806" s="24"/>
      <c r="D806" s="24"/>
      <c r="E806" s="24"/>
      <c r="F806" s="24"/>
      <c r="G806" s="24"/>
      <c r="H806" s="24"/>
      <c r="I806" s="24"/>
      <c r="J806" s="24"/>
      <c r="M806" s="48"/>
      <c r="N806" s="48"/>
      <c r="O806" s="48"/>
      <c r="P806" s="50"/>
    </row>
    <row r="807" ht="15.0" customHeight="1">
      <c r="B807" s="24"/>
      <c r="C807" s="24"/>
      <c r="D807" s="24"/>
      <c r="E807" s="24"/>
      <c r="F807" s="24"/>
      <c r="G807" s="24"/>
      <c r="H807" s="24"/>
      <c r="I807" s="24"/>
      <c r="J807" s="24"/>
      <c r="M807" s="48"/>
      <c r="N807" s="48"/>
      <c r="O807" s="48"/>
      <c r="P807" s="50"/>
    </row>
    <row r="808" ht="15.0" customHeight="1">
      <c r="B808" s="24"/>
      <c r="C808" s="24"/>
      <c r="D808" s="24"/>
      <c r="E808" s="24"/>
      <c r="F808" s="24"/>
      <c r="G808" s="24"/>
      <c r="H808" s="24"/>
      <c r="I808" s="24"/>
      <c r="J808" s="24"/>
      <c r="M808" s="48"/>
      <c r="N808" s="48"/>
      <c r="O808" s="48"/>
      <c r="P808" s="50"/>
    </row>
    <row r="809" ht="15.0" customHeight="1">
      <c r="B809" s="24"/>
      <c r="C809" s="24"/>
      <c r="D809" s="24"/>
      <c r="E809" s="24"/>
      <c r="F809" s="24"/>
      <c r="G809" s="24"/>
      <c r="H809" s="24"/>
      <c r="I809" s="24"/>
      <c r="J809" s="24"/>
      <c r="M809" s="48"/>
      <c r="N809" s="48"/>
      <c r="O809" s="48"/>
      <c r="P809" s="50"/>
    </row>
    <row r="810" ht="15.0" customHeight="1">
      <c r="B810" s="24"/>
      <c r="C810" s="24"/>
      <c r="D810" s="24"/>
      <c r="E810" s="24"/>
      <c r="F810" s="24"/>
      <c r="G810" s="24"/>
      <c r="H810" s="24"/>
      <c r="I810" s="24"/>
      <c r="J810" s="24"/>
      <c r="M810" s="48"/>
      <c r="N810" s="48"/>
      <c r="O810" s="48"/>
      <c r="P810" s="50"/>
    </row>
    <row r="811" ht="15.0" customHeight="1">
      <c r="B811" s="24"/>
      <c r="C811" s="24"/>
      <c r="D811" s="24"/>
      <c r="E811" s="24"/>
      <c r="F811" s="24"/>
      <c r="G811" s="24"/>
      <c r="H811" s="24"/>
      <c r="I811" s="24"/>
      <c r="J811" s="24"/>
      <c r="M811" s="48"/>
      <c r="N811" s="48"/>
      <c r="O811" s="48"/>
      <c r="P811" s="50"/>
    </row>
    <row r="812" ht="15.0" customHeight="1">
      <c r="B812" s="24"/>
      <c r="C812" s="24"/>
      <c r="D812" s="24"/>
      <c r="E812" s="24"/>
      <c r="F812" s="24"/>
      <c r="G812" s="24"/>
      <c r="H812" s="24"/>
      <c r="I812" s="24"/>
      <c r="J812" s="24"/>
      <c r="M812" s="48"/>
      <c r="N812" s="48"/>
      <c r="O812" s="48"/>
      <c r="P812" s="50"/>
    </row>
    <row r="813" ht="15.0" customHeight="1">
      <c r="B813" s="24"/>
      <c r="C813" s="24"/>
      <c r="D813" s="24"/>
      <c r="E813" s="24"/>
      <c r="F813" s="24"/>
      <c r="G813" s="24"/>
      <c r="H813" s="24"/>
      <c r="I813" s="24"/>
      <c r="J813" s="24"/>
      <c r="M813" s="48"/>
      <c r="N813" s="48"/>
      <c r="O813" s="48"/>
      <c r="P813" s="50"/>
    </row>
    <row r="814" ht="15.0" customHeight="1">
      <c r="B814" s="24"/>
      <c r="C814" s="24"/>
      <c r="D814" s="24"/>
      <c r="E814" s="24"/>
      <c r="F814" s="24"/>
      <c r="G814" s="24"/>
      <c r="H814" s="24"/>
      <c r="I814" s="24"/>
      <c r="J814" s="24"/>
      <c r="M814" s="48"/>
      <c r="N814" s="48"/>
      <c r="O814" s="48"/>
      <c r="P814" s="50"/>
    </row>
    <row r="815" ht="15.0" customHeight="1">
      <c r="B815" s="24"/>
      <c r="C815" s="24"/>
      <c r="D815" s="24"/>
      <c r="E815" s="24"/>
      <c r="F815" s="24"/>
      <c r="G815" s="24"/>
      <c r="H815" s="24"/>
      <c r="I815" s="24"/>
      <c r="J815" s="24"/>
      <c r="M815" s="48"/>
      <c r="N815" s="48"/>
      <c r="O815" s="48"/>
      <c r="P815" s="50"/>
    </row>
    <row r="816" ht="15.0" customHeight="1">
      <c r="B816" s="24"/>
      <c r="C816" s="24"/>
      <c r="D816" s="24"/>
      <c r="E816" s="24"/>
      <c r="F816" s="24"/>
      <c r="G816" s="24"/>
      <c r="H816" s="24"/>
      <c r="I816" s="24"/>
      <c r="J816" s="24"/>
      <c r="M816" s="48"/>
      <c r="N816" s="48"/>
      <c r="O816" s="48"/>
      <c r="P816" s="50"/>
    </row>
    <row r="817" ht="15.0" customHeight="1">
      <c r="B817" s="24"/>
      <c r="C817" s="24"/>
      <c r="D817" s="24"/>
      <c r="E817" s="24"/>
      <c r="F817" s="24"/>
      <c r="G817" s="24"/>
      <c r="H817" s="24"/>
      <c r="I817" s="24"/>
      <c r="J817" s="24"/>
      <c r="M817" s="48"/>
      <c r="N817" s="48"/>
      <c r="O817" s="48"/>
      <c r="P817" s="50"/>
    </row>
    <row r="818" ht="15.0" customHeight="1">
      <c r="B818" s="24"/>
      <c r="C818" s="24"/>
      <c r="D818" s="24"/>
      <c r="E818" s="24"/>
      <c r="F818" s="24"/>
      <c r="G818" s="24"/>
      <c r="H818" s="24"/>
      <c r="I818" s="24"/>
      <c r="J818" s="24"/>
      <c r="M818" s="48"/>
      <c r="N818" s="48"/>
      <c r="O818" s="48"/>
      <c r="P818" s="50"/>
    </row>
    <row r="819" ht="15.0" customHeight="1">
      <c r="B819" s="24"/>
      <c r="C819" s="24"/>
      <c r="D819" s="24"/>
      <c r="E819" s="24"/>
      <c r="F819" s="24"/>
      <c r="G819" s="24"/>
      <c r="H819" s="24"/>
      <c r="I819" s="24"/>
      <c r="J819" s="24"/>
      <c r="M819" s="48"/>
      <c r="N819" s="48"/>
      <c r="O819" s="48"/>
      <c r="P819" s="50"/>
    </row>
    <row r="820" ht="15.0" customHeight="1">
      <c r="B820" s="24"/>
      <c r="C820" s="24"/>
      <c r="D820" s="24"/>
      <c r="E820" s="24"/>
      <c r="F820" s="24"/>
      <c r="G820" s="24"/>
      <c r="H820" s="24"/>
      <c r="I820" s="24"/>
      <c r="J820" s="24"/>
      <c r="M820" s="48"/>
      <c r="N820" s="48"/>
      <c r="O820" s="48"/>
      <c r="P820" s="50"/>
    </row>
    <row r="821" ht="15.0" customHeight="1">
      <c r="B821" s="24"/>
      <c r="C821" s="24"/>
      <c r="D821" s="24"/>
      <c r="E821" s="24"/>
      <c r="F821" s="24"/>
      <c r="G821" s="24"/>
      <c r="H821" s="24"/>
      <c r="I821" s="24"/>
      <c r="J821" s="24"/>
      <c r="M821" s="48"/>
      <c r="N821" s="48"/>
      <c r="O821" s="48"/>
      <c r="P821" s="50"/>
    </row>
    <row r="822" ht="15.0" customHeight="1">
      <c r="B822" s="24"/>
      <c r="C822" s="24"/>
      <c r="D822" s="24"/>
      <c r="E822" s="24"/>
      <c r="F822" s="24"/>
      <c r="G822" s="24"/>
      <c r="H822" s="24"/>
      <c r="I822" s="24"/>
      <c r="J822" s="24"/>
      <c r="M822" s="48"/>
      <c r="N822" s="48"/>
      <c r="O822" s="48"/>
      <c r="P822" s="50"/>
    </row>
    <row r="823" ht="15.0" customHeight="1">
      <c r="B823" s="24"/>
      <c r="C823" s="24"/>
      <c r="D823" s="24"/>
      <c r="E823" s="24"/>
      <c r="F823" s="24"/>
      <c r="G823" s="24"/>
      <c r="H823" s="24"/>
      <c r="I823" s="24"/>
      <c r="J823" s="24"/>
      <c r="M823" s="48"/>
      <c r="N823" s="48"/>
      <c r="O823" s="48"/>
      <c r="P823" s="50"/>
    </row>
    <row r="824" ht="15.0" customHeight="1">
      <c r="B824" s="24"/>
      <c r="C824" s="24"/>
      <c r="D824" s="24"/>
      <c r="E824" s="24"/>
      <c r="F824" s="24"/>
      <c r="G824" s="24"/>
      <c r="H824" s="24"/>
      <c r="I824" s="24"/>
      <c r="J824" s="24"/>
      <c r="M824" s="48"/>
      <c r="N824" s="48"/>
      <c r="O824" s="48"/>
      <c r="P824" s="50"/>
    </row>
    <row r="825" ht="15.0" customHeight="1">
      <c r="B825" s="24"/>
      <c r="C825" s="24"/>
      <c r="D825" s="24"/>
      <c r="E825" s="24"/>
      <c r="F825" s="24"/>
      <c r="G825" s="24"/>
      <c r="H825" s="24"/>
      <c r="I825" s="24"/>
      <c r="J825" s="24"/>
      <c r="M825" s="48"/>
      <c r="N825" s="48"/>
      <c r="O825" s="48"/>
      <c r="P825" s="50"/>
    </row>
    <row r="826" ht="15.0" customHeight="1">
      <c r="B826" s="24"/>
      <c r="C826" s="24"/>
      <c r="D826" s="24"/>
      <c r="E826" s="24"/>
      <c r="F826" s="24"/>
      <c r="G826" s="24"/>
      <c r="H826" s="24"/>
      <c r="I826" s="24"/>
      <c r="J826" s="24"/>
      <c r="M826" s="48"/>
      <c r="N826" s="48"/>
      <c r="O826" s="48"/>
      <c r="P826" s="50"/>
    </row>
    <row r="827" ht="15.0" customHeight="1">
      <c r="B827" s="24"/>
      <c r="C827" s="24"/>
      <c r="D827" s="24"/>
      <c r="E827" s="24"/>
      <c r="F827" s="24"/>
      <c r="G827" s="24"/>
      <c r="H827" s="24"/>
      <c r="I827" s="24"/>
      <c r="J827" s="24"/>
      <c r="M827" s="48"/>
      <c r="N827" s="48"/>
      <c r="O827" s="48"/>
      <c r="P827" s="50"/>
    </row>
    <row r="828" ht="15.0" customHeight="1">
      <c r="B828" s="24"/>
      <c r="C828" s="24"/>
      <c r="D828" s="24"/>
      <c r="E828" s="24"/>
      <c r="F828" s="24"/>
      <c r="G828" s="24"/>
      <c r="H828" s="24"/>
      <c r="I828" s="24"/>
      <c r="J828" s="24"/>
      <c r="M828" s="48"/>
      <c r="N828" s="48"/>
      <c r="O828" s="48"/>
      <c r="P828" s="50"/>
    </row>
    <row r="829" ht="15.0" customHeight="1">
      <c r="B829" s="24"/>
      <c r="C829" s="24"/>
      <c r="D829" s="24"/>
      <c r="E829" s="24"/>
      <c r="F829" s="24"/>
      <c r="G829" s="24"/>
      <c r="H829" s="24"/>
      <c r="I829" s="24"/>
      <c r="J829" s="24"/>
      <c r="M829" s="48"/>
      <c r="N829" s="48"/>
      <c r="O829" s="48"/>
      <c r="P829" s="50"/>
    </row>
    <row r="830" ht="15.0" customHeight="1">
      <c r="B830" s="24"/>
      <c r="C830" s="24"/>
      <c r="D830" s="24"/>
      <c r="E830" s="24"/>
      <c r="F830" s="24"/>
      <c r="G830" s="24"/>
      <c r="H830" s="24"/>
      <c r="I830" s="24"/>
      <c r="J830" s="24"/>
      <c r="M830" s="48"/>
      <c r="N830" s="48"/>
      <c r="O830" s="48"/>
      <c r="P830" s="50"/>
    </row>
    <row r="831" ht="15.0" customHeight="1">
      <c r="B831" s="24"/>
      <c r="C831" s="24"/>
      <c r="D831" s="24"/>
      <c r="E831" s="24"/>
      <c r="F831" s="24"/>
      <c r="G831" s="24"/>
      <c r="H831" s="24"/>
      <c r="I831" s="24"/>
      <c r="J831" s="24"/>
      <c r="M831" s="48"/>
      <c r="N831" s="48"/>
      <c r="O831" s="48"/>
      <c r="P831" s="50"/>
    </row>
    <row r="832" ht="15.0" customHeight="1">
      <c r="B832" s="24"/>
      <c r="C832" s="24"/>
      <c r="D832" s="24"/>
      <c r="E832" s="24"/>
      <c r="F832" s="24"/>
      <c r="G832" s="24"/>
      <c r="H832" s="24"/>
      <c r="I832" s="24"/>
      <c r="J832" s="24"/>
      <c r="M832" s="48"/>
      <c r="N832" s="48"/>
      <c r="O832" s="48"/>
      <c r="P832" s="50"/>
    </row>
    <row r="833" ht="15.0" customHeight="1">
      <c r="B833" s="24"/>
      <c r="C833" s="24"/>
      <c r="D833" s="24"/>
      <c r="E833" s="24"/>
      <c r="F833" s="24"/>
      <c r="G833" s="24"/>
      <c r="H833" s="24"/>
      <c r="I833" s="24"/>
      <c r="J833" s="24"/>
      <c r="M833" s="48"/>
      <c r="N833" s="48"/>
      <c r="O833" s="48"/>
      <c r="P833" s="50"/>
    </row>
    <row r="834" ht="15.0" customHeight="1">
      <c r="B834" s="24"/>
      <c r="C834" s="24"/>
      <c r="D834" s="24"/>
      <c r="E834" s="24"/>
      <c r="F834" s="24"/>
      <c r="G834" s="24"/>
      <c r="H834" s="24"/>
      <c r="I834" s="24"/>
      <c r="J834" s="24"/>
      <c r="M834" s="48"/>
      <c r="N834" s="48"/>
      <c r="O834" s="48"/>
      <c r="P834" s="50"/>
    </row>
    <row r="835" ht="15.0" customHeight="1">
      <c r="B835" s="24"/>
      <c r="C835" s="24"/>
      <c r="D835" s="24"/>
      <c r="E835" s="24"/>
      <c r="F835" s="24"/>
      <c r="G835" s="24"/>
      <c r="H835" s="24"/>
      <c r="I835" s="24"/>
      <c r="J835" s="24"/>
      <c r="M835" s="48"/>
      <c r="N835" s="48"/>
      <c r="O835" s="48"/>
      <c r="P835" s="50"/>
    </row>
    <row r="836" ht="15.0" customHeight="1">
      <c r="B836" s="24"/>
      <c r="C836" s="24"/>
      <c r="D836" s="24"/>
      <c r="E836" s="24"/>
      <c r="F836" s="24"/>
      <c r="G836" s="24"/>
      <c r="H836" s="24"/>
      <c r="I836" s="24"/>
      <c r="J836" s="24"/>
      <c r="M836" s="48"/>
      <c r="N836" s="48"/>
      <c r="O836" s="48"/>
      <c r="P836" s="50"/>
    </row>
    <row r="837" ht="15.0" customHeight="1">
      <c r="B837" s="24"/>
      <c r="C837" s="24"/>
      <c r="D837" s="24"/>
      <c r="E837" s="24"/>
      <c r="F837" s="24"/>
      <c r="G837" s="24"/>
      <c r="H837" s="24"/>
      <c r="I837" s="24"/>
      <c r="J837" s="24"/>
      <c r="M837" s="48"/>
      <c r="N837" s="48"/>
      <c r="O837" s="48"/>
      <c r="P837" s="50"/>
    </row>
    <row r="838" ht="15.0" customHeight="1">
      <c r="B838" s="24"/>
      <c r="C838" s="24"/>
      <c r="D838" s="24"/>
      <c r="E838" s="24"/>
      <c r="F838" s="24"/>
      <c r="G838" s="24"/>
      <c r="H838" s="24"/>
      <c r="I838" s="24"/>
      <c r="J838" s="24"/>
      <c r="M838" s="48"/>
      <c r="N838" s="48"/>
      <c r="O838" s="48"/>
      <c r="P838" s="50"/>
    </row>
    <row r="839" ht="15.0" customHeight="1">
      <c r="B839" s="24"/>
      <c r="C839" s="24"/>
      <c r="D839" s="24"/>
      <c r="E839" s="24"/>
      <c r="F839" s="24"/>
      <c r="G839" s="24"/>
      <c r="H839" s="24"/>
      <c r="I839" s="24"/>
      <c r="J839" s="24"/>
      <c r="M839" s="48"/>
      <c r="N839" s="48"/>
      <c r="O839" s="48"/>
      <c r="P839" s="50"/>
    </row>
    <row r="840" ht="15.0" customHeight="1">
      <c r="B840" s="24"/>
      <c r="C840" s="24"/>
      <c r="D840" s="24"/>
      <c r="E840" s="24"/>
      <c r="F840" s="24"/>
      <c r="G840" s="24"/>
      <c r="H840" s="24"/>
      <c r="I840" s="24"/>
      <c r="J840" s="24"/>
      <c r="M840" s="48"/>
      <c r="N840" s="48"/>
      <c r="O840" s="48"/>
      <c r="P840" s="50"/>
    </row>
    <row r="841" ht="15.0" customHeight="1">
      <c r="B841" s="24"/>
      <c r="C841" s="24"/>
      <c r="D841" s="24"/>
      <c r="E841" s="24"/>
      <c r="F841" s="24"/>
      <c r="G841" s="24"/>
      <c r="H841" s="24"/>
      <c r="I841" s="24"/>
      <c r="J841" s="24"/>
      <c r="M841" s="48"/>
      <c r="N841" s="48"/>
      <c r="O841" s="48"/>
      <c r="P841" s="50"/>
    </row>
    <row r="842" ht="15.0" customHeight="1">
      <c r="B842" s="24"/>
      <c r="C842" s="24"/>
      <c r="D842" s="24"/>
      <c r="E842" s="24"/>
      <c r="F842" s="24"/>
      <c r="G842" s="24"/>
      <c r="H842" s="24"/>
      <c r="I842" s="24"/>
      <c r="J842" s="24"/>
      <c r="M842" s="48"/>
      <c r="N842" s="48"/>
      <c r="O842" s="48"/>
      <c r="P842" s="50"/>
    </row>
    <row r="843" ht="15.0" customHeight="1">
      <c r="B843" s="24"/>
      <c r="C843" s="24"/>
      <c r="D843" s="24"/>
      <c r="E843" s="24"/>
      <c r="F843" s="24"/>
      <c r="G843" s="24"/>
      <c r="H843" s="24"/>
      <c r="I843" s="24"/>
      <c r="J843" s="24"/>
      <c r="M843" s="48"/>
      <c r="N843" s="48"/>
      <c r="O843" s="48"/>
      <c r="P843" s="50"/>
    </row>
    <row r="844" ht="15.0" customHeight="1">
      <c r="B844" s="24"/>
      <c r="C844" s="24"/>
      <c r="D844" s="24"/>
      <c r="E844" s="24"/>
      <c r="F844" s="24"/>
      <c r="G844" s="24"/>
      <c r="H844" s="24"/>
      <c r="I844" s="24"/>
      <c r="J844" s="24"/>
      <c r="M844" s="48"/>
      <c r="N844" s="48"/>
      <c r="O844" s="48"/>
      <c r="P844" s="50"/>
    </row>
    <row r="845" ht="15.0" customHeight="1">
      <c r="B845" s="24"/>
      <c r="C845" s="24"/>
      <c r="D845" s="24"/>
      <c r="E845" s="24"/>
      <c r="F845" s="24"/>
      <c r="G845" s="24"/>
      <c r="H845" s="24"/>
      <c r="I845" s="24"/>
      <c r="J845" s="24"/>
      <c r="M845" s="48"/>
      <c r="N845" s="48"/>
      <c r="O845" s="48"/>
      <c r="P845" s="50"/>
    </row>
    <row r="846" ht="15.0" customHeight="1">
      <c r="B846" s="24"/>
      <c r="C846" s="24"/>
      <c r="D846" s="24"/>
      <c r="E846" s="24"/>
      <c r="F846" s="24"/>
      <c r="G846" s="24"/>
      <c r="H846" s="24"/>
      <c r="I846" s="24"/>
      <c r="J846" s="24"/>
      <c r="M846" s="48"/>
      <c r="N846" s="48"/>
      <c r="O846" s="48"/>
      <c r="P846" s="50"/>
    </row>
    <row r="847" ht="15.0" customHeight="1">
      <c r="B847" s="24"/>
      <c r="C847" s="24"/>
      <c r="D847" s="24"/>
      <c r="E847" s="24"/>
      <c r="F847" s="24"/>
      <c r="G847" s="24"/>
      <c r="H847" s="24"/>
      <c r="I847" s="24"/>
      <c r="J847" s="24"/>
      <c r="M847" s="48"/>
      <c r="N847" s="48"/>
      <c r="O847" s="48"/>
      <c r="P847" s="50"/>
    </row>
    <row r="848" ht="15.0" customHeight="1">
      <c r="B848" s="24"/>
      <c r="C848" s="24"/>
      <c r="D848" s="24"/>
      <c r="E848" s="24"/>
      <c r="F848" s="24"/>
      <c r="G848" s="24"/>
      <c r="H848" s="24"/>
      <c r="I848" s="24"/>
      <c r="J848" s="24"/>
      <c r="M848" s="48"/>
      <c r="N848" s="48"/>
      <c r="O848" s="48"/>
      <c r="P848" s="50"/>
    </row>
    <row r="849" ht="15.0" customHeight="1">
      <c r="B849" s="24"/>
      <c r="C849" s="24"/>
      <c r="D849" s="24"/>
      <c r="E849" s="24"/>
      <c r="F849" s="24"/>
      <c r="G849" s="24"/>
      <c r="H849" s="24"/>
      <c r="I849" s="24"/>
      <c r="J849" s="24"/>
      <c r="M849" s="48"/>
      <c r="N849" s="48"/>
      <c r="O849" s="48"/>
      <c r="P849" s="50"/>
    </row>
    <row r="850" ht="15.0" customHeight="1">
      <c r="B850" s="24"/>
      <c r="C850" s="24"/>
      <c r="D850" s="24"/>
      <c r="E850" s="24"/>
      <c r="F850" s="24"/>
      <c r="G850" s="24"/>
      <c r="H850" s="24"/>
      <c r="I850" s="24"/>
      <c r="J850" s="24"/>
      <c r="M850" s="48"/>
      <c r="N850" s="48"/>
      <c r="O850" s="48"/>
      <c r="P850" s="50"/>
    </row>
    <row r="851" ht="15.0" customHeight="1">
      <c r="B851" s="24"/>
      <c r="C851" s="24"/>
      <c r="D851" s="24"/>
      <c r="E851" s="24"/>
      <c r="F851" s="24"/>
      <c r="G851" s="24"/>
      <c r="H851" s="24"/>
      <c r="I851" s="24"/>
      <c r="J851" s="24"/>
      <c r="M851" s="48"/>
      <c r="N851" s="48"/>
      <c r="O851" s="48"/>
      <c r="P851" s="50"/>
    </row>
    <row r="852" ht="15.0" customHeight="1">
      <c r="B852" s="24"/>
      <c r="C852" s="24"/>
      <c r="D852" s="24"/>
      <c r="E852" s="24"/>
      <c r="F852" s="24"/>
      <c r="G852" s="24"/>
      <c r="H852" s="24"/>
      <c r="I852" s="24"/>
      <c r="J852" s="24"/>
      <c r="M852" s="48"/>
      <c r="N852" s="48"/>
      <c r="O852" s="48"/>
      <c r="P852" s="50"/>
    </row>
    <row r="853" ht="15.0" customHeight="1">
      <c r="B853" s="24"/>
      <c r="C853" s="24"/>
      <c r="D853" s="24"/>
      <c r="E853" s="24"/>
      <c r="F853" s="24"/>
      <c r="G853" s="24"/>
      <c r="H853" s="24"/>
      <c r="I853" s="24"/>
      <c r="J853" s="24"/>
      <c r="M853" s="48"/>
      <c r="N853" s="48"/>
      <c r="O853" s="48"/>
      <c r="P853" s="50"/>
    </row>
    <row r="854" ht="15.0" customHeight="1">
      <c r="B854" s="24"/>
      <c r="C854" s="24"/>
      <c r="D854" s="24"/>
      <c r="E854" s="24"/>
      <c r="F854" s="24"/>
      <c r="G854" s="24"/>
      <c r="H854" s="24"/>
      <c r="I854" s="24"/>
      <c r="J854" s="24"/>
      <c r="M854" s="48"/>
      <c r="N854" s="48"/>
      <c r="O854" s="48"/>
      <c r="P854" s="50"/>
    </row>
    <row r="855" ht="15.0" customHeight="1">
      <c r="B855" s="24"/>
      <c r="C855" s="24"/>
      <c r="D855" s="24"/>
      <c r="E855" s="24"/>
      <c r="F855" s="24"/>
      <c r="G855" s="24"/>
      <c r="H855" s="24"/>
      <c r="I855" s="24"/>
      <c r="J855" s="24"/>
      <c r="M855" s="48"/>
      <c r="N855" s="48"/>
      <c r="O855" s="48"/>
      <c r="P855" s="50"/>
    </row>
    <row r="856" ht="15.0" customHeight="1">
      <c r="B856" s="24"/>
      <c r="C856" s="24"/>
      <c r="D856" s="24"/>
      <c r="E856" s="24"/>
      <c r="F856" s="24"/>
      <c r="G856" s="24"/>
      <c r="H856" s="24"/>
      <c r="I856" s="24"/>
      <c r="J856" s="24"/>
      <c r="M856" s="48"/>
      <c r="N856" s="48"/>
      <c r="O856" s="48"/>
      <c r="P856" s="50"/>
    </row>
    <row r="857" ht="15.0" customHeight="1">
      <c r="B857" s="24"/>
      <c r="C857" s="24"/>
      <c r="D857" s="24"/>
      <c r="E857" s="24"/>
      <c r="F857" s="24"/>
      <c r="G857" s="24"/>
      <c r="H857" s="24"/>
      <c r="I857" s="24"/>
      <c r="J857" s="24"/>
      <c r="M857" s="48"/>
      <c r="N857" s="48"/>
      <c r="O857" s="48"/>
      <c r="P857" s="50"/>
    </row>
    <row r="858" ht="15.0" customHeight="1">
      <c r="B858" s="24"/>
      <c r="C858" s="24"/>
      <c r="D858" s="24"/>
      <c r="E858" s="24"/>
      <c r="F858" s="24"/>
      <c r="G858" s="24"/>
      <c r="H858" s="24"/>
      <c r="I858" s="24"/>
      <c r="J858" s="24"/>
      <c r="M858" s="48"/>
      <c r="N858" s="48"/>
      <c r="O858" s="48"/>
      <c r="P858" s="50"/>
    </row>
    <row r="859" ht="15.0" customHeight="1">
      <c r="B859" s="24"/>
      <c r="C859" s="24"/>
      <c r="D859" s="24"/>
      <c r="E859" s="24"/>
      <c r="F859" s="24"/>
      <c r="G859" s="24"/>
      <c r="H859" s="24"/>
      <c r="I859" s="24"/>
      <c r="J859" s="24"/>
      <c r="M859" s="48"/>
      <c r="N859" s="48"/>
      <c r="O859" s="48"/>
      <c r="P859" s="50"/>
    </row>
    <row r="860" ht="15.0" customHeight="1">
      <c r="B860" s="24"/>
      <c r="C860" s="24"/>
      <c r="D860" s="24"/>
      <c r="E860" s="24"/>
      <c r="F860" s="24"/>
      <c r="G860" s="24"/>
      <c r="H860" s="24"/>
      <c r="I860" s="24"/>
      <c r="J860" s="24"/>
      <c r="M860" s="48"/>
      <c r="N860" s="48"/>
      <c r="O860" s="48"/>
      <c r="P860" s="50"/>
    </row>
    <row r="861" ht="15.0" customHeight="1">
      <c r="B861" s="24"/>
      <c r="C861" s="24"/>
      <c r="D861" s="24"/>
      <c r="E861" s="24"/>
      <c r="F861" s="24"/>
      <c r="G861" s="24"/>
      <c r="H861" s="24"/>
      <c r="I861" s="24"/>
      <c r="J861" s="24"/>
      <c r="M861" s="48"/>
      <c r="N861" s="48"/>
      <c r="O861" s="48"/>
      <c r="P861" s="50"/>
    </row>
    <row r="862" ht="15.0" customHeight="1">
      <c r="B862" s="24"/>
      <c r="C862" s="24"/>
      <c r="D862" s="24"/>
      <c r="E862" s="24"/>
      <c r="F862" s="24"/>
      <c r="G862" s="24"/>
      <c r="H862" s="24"/>
      <c r="I862" s="24"/>
      <c r="J862" s="24"/>
      <c r="M862" s="48"/>
      <c r="N862" s="48"/>
      <c r="O862" s="48"/>
      <c r="P862" s="50"/>
    </row>
    <row r="863" ht="15.0" customHeight="1">
      <c r="B863" s="24"/>
      <c r="C863" s="24"/>
      <c r="D863" s="24"/>
      <c r="E863" s="24"/>
      <c r="F863" s="24"/>
      <c r="G863" s="24"/>
      <c r="H863" s="24"/>
      <c r="I863" s="24"/>
      <c r="J863" s="24"/>
      <c r="M863" s="48"/>
      <c r="N863" s="48"/>
      <c r="O863" s="48"/>
      <c r="P863" s="50"/>
    </row>
    <row r="864" ht="15.0" customHeight="1">
      <c r="B864" s="24"/>
      <c r="C864" s="24"/>
      <c r="D864" s="24"/>
      <c r="E864" s="24"/>
      <c r="F864" s="24"/>
      <c r="G864" s="24"/>
      <c r="H864" s="24"/>
      <c r="I864" s="24"/>
      <c r="J864" s="24"/>
      <c r="M864" s="48"/>
      <c r="N864" s="48"/>
      <c r="O864" s="48"/>
      <c r="P864" s="50"/>
    </row>
    <row r="865" ht="15.0" customHeight="1">
      <c r="B865" s="24"/>
      <c r="C865" s="24"/>
      <c r="D865" s="24"/>
      <c r="E865" s="24"/>
      <c r="F865" s="24"/>
      <c r="G865" s="24"/>
      <c r="H865" s="24"/>
      <c r="I865" s="24"/>
      <c r="J865" s="24"/>
      <c r="M865" s="48"/>
      <c r="N865" s="48"/>
      <c r="O865" s="48"/>
      <c r="P865" s="50"/>
    </row>
    <row r="866" ht="15.0" customHeight="1">
      <c r="B866" s="24"/>
      <c r="C866" s="24"/>
      <c r="D866" s="24"/>
      <c r="E866" s="24"/>
      <c r="F866" s="24"/>
      <c r="G866" s="24"/>
      <c r="H866" s="24"/>
      <c r="I866" s="24"/>
      <c r="J866" s="24"/>
      <c r="M866" s="48"/>
      <c r="N866" s="48"/>
      <c r="O866" s="48"/>
      <c r="P866" s="50"/>
    </row>
    <row r="867" ht="15.0" customHeight="1">
      <c r="B867" s="24"/>
      <c r="C867" s="24"/>
      <c r="D867" s="24"/>
      <c r="E867" s="24"/>
      <c r="F867" s="24"/>
      <c r="G867" s="24"/>
      <c r="H867" s="24"/>
      <c r="I867" s="24"/>
      <c r="J867" s="24"/>
      <c r="M867" s="48"/>
      <c r="N867" s="48"/>
      <c r="O867" s="48"/>
      <c r="P867" s="50"/>
    </row>
    <row r="868" ht="15.0" customHeight="1">
      <c r="B868" s="24"/>
      <c r="C868" s="24"/>
      <c r="D868" s="24"/>
      <c r="E868" s="24"/>
      <c r="F868" s="24"/>
      <c r="G868" s="24"/>
      <c r="H868" s="24"/>
      <c r="I868" s="24"/>
      <c r="J868" s="24"/>
      <c r="M868" s="48"/>
      <c r="N868" s="48"/>
      <c r="O868" s="48"/>
      <c r="P868" s="50"/>
    </row>
    <row r="869" ht="15.0" customHeight="1">
      <c r="B869" s="24"/>
      <c r="C869" s="24"/>
      <c r="D869" s="24"/>
      <c r="E869" s="24"/>
      <c r="F869" s="24"/>
      <c r="G869" s="24"/>
      <c r="H869" s="24"/>
      <c r="I869" s="24"/>
      <c r="J869" s="24"/>
      <c r="M869" s="48"/>
      <c r="N869" s="48"/>
      <c r="O869" s="48"/>
      <c r="P869" s="50"/>
    </row>
    <row r="870" ht="15.0" customHeight="1">
      <c r="B870" s="24"/>
      <c r="C870" s="24"/>
      <c r="D870" s="24"/>
      <c r="E870" s="24"/>
      <c r="F870" s="24"/>
      <c r="G870" s="24"/>
      <c r="H870" s="24"/>
      <c r="I870" s="24"/>
      <c r="J870" s="24"/>
      <c r="M870" s="48"/>
      <c r="N870" s="48"/>
      <c r="O870" s="48"/>
      <c r="P870" s="50"/>
    </row>
    <row r="871" ht="15.0" customHeight="1">
      <c r="B871" s="24"/>
      <c r="C871" s="24"/>
      <c r="D871" s="24"/>
      <c r="E871" s="24"/>
      <c r="F871" s="24"/>
      <c r="G871" s="24"/>
      <c r="H871" s="24"/>
      <c r="I871" s="24"/>
      <c r="J871" s="24"/>
      <c r="M871" s="48"/>
      <c r="N871" s="48"/>
      <c r="O871" s="48"/>
      <c r="P871" s="50"/>
    </row>
    <row r="872" ht="15.0" customHeight="1">
      <c r="B872" s="24"/>
      <c r="C872" s="24"/>
      <c r="D872" s="24"/>
      <c r="E872" s="24"/>
      <c r="F872" s="24"/>
      <c r="G872" s="24"/>
      <c r="H872" s="24"/>
      <c r="I872" s="24"/>
      <c r="J872" s="24"/>
      <c r="M872" s="48"/>
      <c r="N872" s="48"/>
      <c r="O872" s="48"/>
      <c r="P872" s="50"/>
    </row>
    <row r="873" ht="15.0" customHeight="1">
      <c r="B873" s="24"/>
      <c r="C873" s="24"/>
      <c r="D873" s="24"/>
      <c r="E873" s="24"/>
      <c r="F873" s="24"/>
      <c r="G873" s="24"/>
      <c r="H873" s="24"/>
      <c r="I873" s="24"/>
      <c r="J873" s="24"/>
      <c r="M873" s="48"/>
      <c r="N873" s="48"/>
      <c r="O873" s="48"/>
      <c r="P873" s="50"/>
    </row>
    <row r="874" ht="15.0" customHeight="1">
      <c r="B874" s="24"/>
      <c r="C874" s="24"/>
      <c r="D874" s="24"/>
      <c r="E874" s="24"/>
      <c r="F874" s="24"/>
      <c r="G874" s="24"/>
      <c r="H874" s="24"/>
      <c r="I874" s="24"/>
      <c r="J874" s="24"/>
      <c r="M874" s="48"/>
      <c r="N874" s="48"/>
      <c r="O874" s="48"/>
      <c r="P874" s="50"/>
    </row>
    <row r="875" ht="15.0" customHeight="1">
      <c r="B875" s="24"/>
      <c r="C875" s="24"/>
      <c r="D875" s="24"/>
      <c r="E875" s="24"/>
      <c r="F875" s="24"/>
      <c r="G875" s="24"/>
      <c r="H875" s="24"/>
      <c r="I875" s="24"/>
      <c r="J875" s="24"/>
      <c r="M875" s="48"/>
      <c r="N875" s="48"/>
      <c r="O875" s="48"/>
      <c r="P875" s="50"/>
    </row>
    <row r="876" ht="15.0" customHeight="1">
      <c r="B876" s="24"/>
      <c r="C876" s="24"/>
      <c r="D876" s="24"/>
      <c r="E876" s="24"/>
      <c r="F876" s="24"/>
      <c r="G876" s="24"/>
      <c r="H876" s="24"/>
      <c r="I876" s="24"/>
      <c r="J876" s="24"/>
      <c r="M876" s="48"/>
      <c r="N876" s="48"/>
      <c r="O876" s="48"/>
      <c r="P876" s="50"/>
    </row>
    <row r="877" ht="15.0" customHeight="1">
      <c r="B877" s="24"/>
      <c r="C877" s="24"/>
      <c r="D877" s="24"/>
      <c r="E877" s="24"/>
      <c r="F877" s="24"/>
      <c r="G877" s="24"/>
      <c r="H877" s="24"/>
      <c r="I877" s="24"/>
      <c r="J877" s="24"/>
      <c r="M877" s="48"/>
      <c r="N877" s="48"/>
      <c r="O877" s="48"/>
      <c r="P877" s="50"/>
    </row>
    <row r="878" ht="15.0" customHeight="1">
      <c r="B878" s="24"/>
      <c r="C878" s="24"/>
      <c r="D878" s="24"/>
      <c r="E878" s="24"/>
      <c r="F878" s="24"/>
      <c r="G878" s="24"/>
      <c r="H878" s="24"/>
      <c r="I878" s="24"/>
      <c r="J878" s="24"/>
      <c r="M878" s="48"/>
      <c r="N878" s="48"/>
      <c r="O878" s="48"/>
      <c r="P878" s="50"/>
    </row>
    <row r="879" ht="15.0" customHeight="1">
      <c r="B879" s="24"/>
      <c r="C879" s="24"/>
      <c r="D879" s="24"/>
      <c r="E879" s="24"/>
      <c r="F879" s="24"/>
      <c r="G879" s="24"/>
      <c r="H879" s="24"/>
      <c r="I879" s="24"/>
      <c r="J879" s="24"/>
      <c r="M879" s="48"/>
      <c r="N879" s="48"/>
      <c r="O879" s="48"/>
      <c r="P879" s="50"/>
    </row>
    <row r="880" ht="15.0" customHeight="1">
      <c r="B880" s="24"/>
      <c r="C880" s="24"/>
      <c r="D880" s="24"/>
      <c r="E880" s="24"/>
      <c r="F880" s="24"/>
      <c r="G880" s="24"/>
      <c r="H880" s="24"/>
      <c r="I880" s="24"/>
      <c r="J880" s="24"/>
      <c r="M880" s="48"/>
      <c r="N880" s="48"/>
      <c r="O880" s="48"/>
      <c r="P880" s="50"/>
    </row>
    <row r="881" ht="15.0" customHeight="1">
      <c r="B881" s="24"/>
      <c r="C881" s="24"/>
      <c r="D881" s="24"/>
      <c r="E881" s="24"/>
      <c r="F881" s="24"/>
      <c r="G881" s="24"/>
      <c r="H881" s="24"/>
      <c r="I881" s="24"/>
      <c r="J881" s="24"/>
      <c r="M881" s="48"/>
      <c r="N881" s="48"/>
      <c r="O881" s="48"/>
      <c r="P881" s="50"/>
    </row>
    <row r="882" ht="15.0" customHeight="1">
      <c r="B882" s="24"/>
      <c r="C882" s="24"/>
      <c r="D882" s="24"/>
      <c r="E882" s="24"/>
      <c r="F882" s="24"/>
      <c r="G882" s="24"/>
      <c r="H882" s="24"/>
      <c r="I882" s="24"/>
      <c r="J882" s="24"/>
      <c r="M882" s="48"/>
      <c r="N882" s="48"/>
      <c r="O882" s="48"/>
      <c r="P882" s="50"/>
    </row>
    <row r="883" ht="15.0" customHeight="1">
      <c r="B883" s="24"/>
      <c r="C883" s="24"/>
      <c r="D883" s="24"/>
      <c r="E883" s="24"/>
      <c r="F883" s="24"/>
      <c r="G883" s="24"/>
      <c r="H883" s="24"/>
      <c r="I883" s="24"/>
      <c r="J883" s="24"/>
      <c r="M883" s="48"/>
      <c r="N883" s="48"/>
      <c r="O883" s="48"/>
      <c r="P883" s="50"/>
    </row>
    <row r="884" ht="15.0" customHeight="1">
      <c r="B884" s="24"/>
      <c r="C884" s="24"/>
      <c r="D884" s="24"/>
      <c r="E884" s="24"/>
      <c r="F884" s="24"/>
      <c r="G884" s="24"/>
      <c r="H884" s="24"/>
      <c r="I884" s="24"/>
      <c r="J884" s="24"/>
      <c r="M884" s="48"/>
      <c r="N884" s="48"/>
      <c r="O884" s="48"/>
      <c r="P884" s="50"/>
    </row>
    <row r="885" ht="15.0" customHeight="1">
      <c r="B885" s="24"/>
      <c r="C885" s="24"/>
      <c r="D885" s="24"/>
      <c r="E885" s="24"/>
      <c r="F885" s="24"/>
      <c r="G885" s="24"/>
      <c r="H885" s="24"/>
      <c r="I885" s="24"/>
      <c r="J885" s="24"/>
      <c r="M885" s="48"/>
      <c r="N885" s="48"/>
      <c r="O885" s="48"/>
      <c r="P885" s="50"/>
    </row>
    <row r="886" ht="15.0" customHeight="1">
      <c r="B886" s="24"/>
      <c r="C886" s="24"/>
      <c r="D886" s="24"/>
      <c r="E886" s="24"/>
      <c r="F886" s="24"/>
      <c r="G886" s="24"/>
      <c r="H886" s="24"/>
      <c r="I886" s="24"/>
      <c r="J886" s="24"/>
      <c r="M886" s="48"/>
      <c r="N886" s="48"/>
      <c r="O886" s="48"/>
      <c r="P886" s="50"/>
    </row>
    <row r="887" ht="15.0" customHeight="1">
      <c r="B887" s="24"/>
      <c r="C887" s="24"/>
      <c r="D887" s="24"/>
      <c r="E887" s="24"/>
      <c r="F887" s="24"/>
      <c r="G887" s="24"/>
      <c r="H887" s="24"/>
      <c r="I887" s="24"/>
      <c r="J887" s="24"/>
      <c r="M887" s="48"/>
      <c r="N887" s="48"/>
      <c r="O887" s="48"/>
      <c r="P887" s="50"/>
    </row>
    <row r="888" ht="15.0" customHeight="1">
      <c r="B888" s="24"/>
      <c r="C888" s="24"/>
      <c r="D888" s="24"/>
      <c r="E888" s="24"/>
      <c r="F888" s="24"/>
      <c r="G888" s="24"/>
      <c r="H888" s="24"/>
      <c r="I888" s="24"/>
      <c r="J888" s="24"/>
      <c r="M888" s="48"/>
      <c r="N888" s="48"/>
      <c r="O888" s="48"/>
      <c r="P888" s="50"/>
    </row>
    <row r="889" ht="15.0" customHeight="1">
      <c r="B889" s="24"/>
      <c r="C889" s="24"/>
      <c r="D889" s="24"/>
      <c r="E889" s="24"/>
      <c r="F889" s="24"/>
      <c r="G889" s="24"/>
      <c r="H889" s="24"/>
      <c r="I889" s="24"/>
      <c r="J889" s="24"/>
      <c r="M889" s="48"/>
      <c r="N889" s="48"/>
      <c r="O889" s="48"/>
      <c r="P889" s="50"/>
    </row>
    <row r="890" ht="15.0" customHeight="1">
      <c r="B890" s="24"/>
      <c r="C890" s="24"/>
      <c r="D890" s="24"/>
      <c r="E890" s="24"/>
      <c r="F890" s="24"/>
      <c r="G890" s="24"/>
      <c r="H890" s="24"/>
      <c r="I890" s="24"/>
      <c r="J890" s="24"/>
      <c r="M890" s="48"/>
      <c r="N890" s="48"/>
      <c r="O890" s="48"/>
      <c r="P890" s="50"/>
    </row>
    <row r="891" ht="15.0" customHeight="1">
      <c r="B891" s="24"/>
      <c r="C891" s="24"/>
      <c r="D891" s="24"/>
      <c r="E891" s="24"/>
      <c r="F891" s="24"/>
      <c r="G891" s="24"/>
      <c r="H891" s="24"/>
      <c r="I891" s="24"/>
      <c r="J891" s="24"/>
      <c r="M891" s="48"/>
      <c r="N891" s="48"/>
      <c r="O891" s="48"/>
      <c r="P891" s="50"/>
    </row>
    <row r="892" ht="15.0" customHeight="1">
      <c r="B892" s="24"/>
      <c r="C892" s="24"/>
      <c r="D892" s="24"/>
      <c r="E892" s="24"/>
      <c r="F892" s="24"/>
      <c r="G892" s="24"/>
      <c r="H892" s="24"/>
      <c r="I892" s="24"/>
      <c r="J892" s="24"/>
      <c r="M892" s="48"/>
      <c r="N892" s="48"/>
      <c r="O892" s="48"/>
      <c r="P892" s="50"/>
    </row>
    <row r="893" ht="15.0" customHeight="1">
      <c r="B893" s="24"/>
      <c r="C893" s="24"/>
      <c r="D893" s="24"/>
      <c r="E893" s="24"/>
      <c r="F893" s="24"/>
      <c r="G893" s="24"/>
      <c r="H893" s="24"/>
      <c r="I893" s="24"/>
      <c r="J893" s="24"/>
      <c r="M893" s="48"/>
      <c r="N893" s="48"/>
      <c r="O893" s="48"/>
      <c r="P893" s="50"/>
    </row>
    <row r="894" ht="15.0" customHeight="1">
      <c r="B894" s="24"/>
      <c r="C894" s="24"/>
      <c r="D894" s="24"/>
      <c r="E894" s="24"/>
      <c r="F894" s="24"/>
      <c r="G894" s="24"/>
      <c r="H894" s="24"/>
      <c r="I894" s="24"/>
      <c r="J894" s="24"/>
      <c r="M894" s="48"/>
      <c r="N894" s="48"/>
      <c r="O894" s="48"/>
      <c r="P894" s="50"/>
    </row>
    <row r="895" ht="15.0" customHeight="1">
      <c r="B895" s="24"/>
      <c r="C895" s="24"/>
      <c r="D895" s="24"/>
      <c r="E895" s="24"/>
      <c r="F895" s="24"/>
      <c r="G895" s="24"/>
      <c r="H895" s="24"/>
      <c r="I895" s="24"/>
      <c r="J895" s="24"/>
      <c r="M895" s="48"/>
      <c r="N895" s="48"/>
      <c r="O895" s="48"/>
      <c r="P895" s="50"/>
    </row>
    <row r="896" ht="15.0" customHeight="1">
      <c r="B896" s="24"/>
      <c r="C896" s="24"/>
      <c r="D896" s="24"/>
      <c r="E896" s="24"/>
      <c r="F896" s="24"/>
      <c r="G896" s="24"/>
      <c r="H896" s="24"/>
      <c r="I896" s="24"/>
      <c r="J896" s="24"/>
      <c r="M896" s="48"/>
      <c r="N896" s="48"/>
      <c r="O896" s="48"/>
      <c r="P896" s="50"/>
    </row>
    <row r="897" ht="15.0" customHeight="1">
      <c r="B897" s="24"/>
      <c r="C897" s="24"/>
      <c r="D897" s="24"/>
      <c r="E897" s="24"/>
      <c r="F897" s="24"/>
      <c r="G897" s="24"/>
      <c r="H897" s="24"/>
      <c r="I897" s="24"/>
      <c r="J897" s="24"/>
      <c r="M897" s="48"/>
      <c r="N897" s="48"/>
      <c r="O897" s="48"/>
      <c r="P897" s="50"/>
    </row>
    <row r="898" ht="15.0" customHeight="1">
      <c r="B898" s="24"/>
      <c r="C898" s="24"/>
      <c r="D898" s="24"/>
      <c r="E898" s="24"/>
      <c r="F898" s="24"/>
      <c r="G898" s="24"/>
      <c r="H898" s="24"/>
      <c r="I898" s="24"/>
      <c r="J898" s="24"/>
      <c r="M898" s="48"/>
      <c r="N898" s="48"/>
      <c r="O898" s="48"/>
      <c r="P898" s="50"/>
    </row>
    <row r="899" ht="15.0" customHeight="1">
      <c r="B899" s="24"/>
      <c r="C899" s="24"/>
      <c r="D899" s="24"/>
      <c r="E899" s="24"/>
      <c r="F899" s="24"/>
      <c r="G899" s="24"/>
      <c r="H899" s="24"/>
      <c r="I899" s="24"/>
      <c r="J899" s="24"/>
      <c r="M899" s="48"/>
      <c r="N899" s="48"/>
      <c r="O899" s="48"/>
      <c r="P899" s="50"/>
    </row>
    <row r="900" ht="15.0" customHeight="1">
      <c r="B900" s="24"/>
      <c r="C900" s="24"/>
      <c r="D900" s="24"/>
      <c r="E900" s="24"/>
      <c r="F900" s="24"/>
      <c r="G900" s="24"/>
      <c r="H900" s="24"/>
      <c r="I900" s="24"/>
      <c r="J900" s="24"/>
      <c r="M900" s="48"/>
      <c r="N900" s="48"/>
      <c r="O900" s="48"/>
      <c r="P900" s="50"/>
    </row>
    <row r="901" ht="15.0" customHeight="1">
      <c r="B901" s="24"/>
      <c r="C901" s="24"/>
      <c r="D901" s="24"/>
      <c r="E901" s="24"/>
      <c r="F901" s="24"/>
      <c r="G901" s="24"/>
      <c r="H901" s="24"/>
      <c r="I901" s="24"/>
      <c r="J901" s="24"/>
      <c r="M901" s="48"/>
      <c r="N901" s="48"/>
      <c r="O901" s="48"/>
      <c r="P901" s="50"/>
    </row>
    <row r="902" ht="15.0" customHeight="1">
      <c r="B902" s="24"/>
      <c r="C902" s="24"/>
      <c r="D902" s="24"/>
      <c r="E902" s="24"/>
      <c r="F902" s="24"/>
      <c r="G902" s="24"/>
      <c r="H902" s="24"/>
      <c r="I902" s="24"/>
      <c r="J902" s="24"/>
      <c r="M902" s="48"/>
      <c r="N902" s="48"/>
      <c r="O902" s="48"/>
      <c r="P902" s="50"/>
    </row>
    <row r="903" ht="15.0" customHeight="1">
      <c r="B903" s="24"/>
      <c r="C903" s="24"/>
      <c r="D903" s="24"/>
      <c r="E903" s="24"/>
      <c r="F903" s="24"/>
      <c r="G903" s="24"/>
      <c r="H903" s="24"/>
      <c r="I903" s="24"/>
      <c r="J903" s="24"/>
      <c r="M903" s="48"/>
      <c r="N903" s="48"/>
      <c r="O903" s="48"/>
      <c r="P903" s="50"/>
    </row>
    <row r="904" ht="15.0" customHeight="1">
      <c r="B904" s="24"/>
      <c r="C904" s="24"/>
      <c r="D904" s="24"/>
      <c r="E904" s="24"/>
      <c r="F904" s="24"/>
      <c r="G904" s="24"/>
      <c r="H904" s="24"/>
      <c r="I904" s="24"/>
      <c r="J904" s="24"/>
      <c r="M904" s="48"/>
      <c r="N904" s="48"/>
      <c r="O904" s="48"/>
      <c r="P904" s="50"/>
    </row>
    <row r="905" ht="15.0" customHeight="1">
      <c r="B905" s="24"/>
      <c r="C905" s="24"/>
      <c r="D905" s="24"/>
      <c r="E905" s="24"/>
      <c r="F905" s="24"/>
      <c r="G905" s="24"/>
      <c r="H905" s="24"/>
      <c r="I905" s="24"/>
      <c r="J905" s="24"/>
      <c r="M905" s="48"/>
      <c r="N905" s="48"/>
      <c r="O905" s="48"/>
      <c r="P905" s="50"/>
    </row>
    <row r="906" ht="15.0" customHeight="1">
      <c r="B906" s="24"/>
      <c r="C906" s="24"/>
      <c r="D906" s="24"/>
      <c r="E906" s="24"/>
      <c r="F906" s="24"/>
      <c r="G906" s="24"/>
      <c r="H906" s="24"/>
      <c r="I906" s="24"/>
      <c r="J906" s="24"/>
      <c r="M906" s="48"/>
      <c r="N906" s="48"/>
      <c r="O906" s="48"/>
      <c r="P906" s="50"/>
    </row>
    <row r="907" ht="15.0" customHeight="1">
      <c r="B907" s="24"/>
      <c r="C907" s="24"/>
      <c r="D907" s="24"/>
      <c r="E907" s="24"/>
      <c r="F907" s="24"/>
      <c r="G907" s="24"/>
      <c r="H907" s="24"/>
      <c r="I907" s="24"/>
      <c r="J907" s="24"/>
      <c r="M907" s="48"/>
      <c r="N907" s="48"/>
      <c r="O907" s="48"/>
      <c r="P907" s="50"/>
    </row>
    <row r="908" ht="15.0" customHeight="1">
      <c r="B908" s="24"/>
      <c r="C908" s="24"/>
      <c r="D908" s="24"/>
      <c r="E908" s="24"/>
      <c r="F908" s="24"/>
      <c r="G908" s="24"/>
      <c r="H908" s="24"/>
      <c r="I908" s="24"/>
      <c r="J908" s="24"/>
      <c r="M908" s="48"/>
      <c r="N908" s="48"/>
      <c r="O908" s="48"/>
      <c r="P908" s="50"/>
    </row>
    <row r="909" ht="15.0" customHeight="1">
      <c r="B909" s="24"/>
      <c r="C909" s="24"/>
      <c r="D909" s="24"/>
      <c r="E909" s="24"/>
      <c r="F909" s="24"/>
      <c r="G909" s="24"/>
      <c r="H909" s="24"/>
      <c r="I909" s="24"/>
      <c r="J909" s="24"/>
      <c r="M909" s="48"/>
      <c r="N909" s="48"/>
      <c r="O909" s="48"/>
      <c r="P909" s="50"/>
    </row>
    <row r="910" ht="15.0" customHeight="1">
      <c r="B910" s="24"/>
      <c r="C910" s="24"/>
      <c r="D910" s="24"/>
      <c r="E910" s="24"/>
      <c r="F910" s="24"/>
      <c r="G910" s="24"/>
      <c r="H910" s="24"/>
      <c r="I910" s="24"/>
      <c r="J910" s="24"/>
      <c r="M910" s="48"/>
      <c r="N910" s="48"/>
      <c r="O910" s="48"/>
      <c r="P910" s="50"/>
    </row>
    <row r="911" ht="15.0" customHeight="1">
      <c r="B911" s="24"/>
      <c r="C911" s="24"/>
      <c r="D911" s="24"/>
      <c r="E911" s="24"/>
      <c r="F911" s="24"/>
      <c r="G911" s="24"/>
      <c r="H911" s="24"/>
      <c r="I911" s="24"/>
      <c r="J911" s="24"/>
      <c r="M911" s="48"/>
      <c r="N911" s="48"/>
      <c r="O911" s="48"/>
      <c r="P911" s="50"/>
    </row>
    <row r="912" ht="15.0" customHeight="1">
      <c r="B912" s="24"/>
      <c r="C912" s="24"/>
      <c r="D912" s="24"/>
      <c r="E912" s="24"/>
      <c r="F912" s="24"/>
      <c r="G912" s="24"/>
      <c r="H912" s="24"/>
      <c r="I912" s="24"/>
      <c r="J912" s="24"/>
      <c r="M912" s="48"/>
      <c r="N912" s="48"/>
      <c r="O912" s="48"/>
      <c r="P912" s="50"/>
    </row>
    <row r="913" ht="15.0" customHeight="1">
      <c r="B913" s="24"/>
      <c r="C913" s="24"/>
      <c r="D913" s="24"/>
      <c r="E913" s="24"/>
      <c r="F913" s="24"/>
      <c r="G913" s="24"/>
      <c r="H913" s="24"/>
      <c r="I913" s="24"/>
      <c r="J913" s="24"/>
      <c r="M913" s="48"/>
      <c r="N913" s="48"/>
      <c r="O913" s="48"/>
      <c r="P913" s="50"/>
    </row>
    <row r="914" ht="15.0" customHeight="1">
      <c r="B914" s="24"/>
      <c r="C914" s="24"/>
      <c r="D914" s="24"/>
      <c r="E914" s="24"/>
      <c r="F914" s="24"/>
      <c r="G914" s="24"/>
      <c r="H914" s="24"/>
      <c r="I914" s="24"/>
      <c r="J914" s="24"/>
      <c r="M914" s="48"/>
      <c r="N914" s="48"/>
      <c r="O914" s="48"/>
      <c r="P914" s="50"/>
    </row>
    <row r="915" ht="15.0" customHeight="1">
      <c r="B915" s="24"/>
      <c r="C915" s="24"/>
      <c r="D915" s="24"/>
      <c r="E915" s="24"/>
      <c r="F915" s="24"/>
      <c r="G915" s="24"/>
      <c r="H915" s="24"/>
      <c r="I915" s="24"/>
      <c r="J915" s="24"/>
      <c r="M915" s="48"/>
      <c r="N915" s="48"/>
      <c r="O915" s="48"/>
      <c r="P915" s="50"/>
    </row>
    <row r="916" ht="15.0" customHeight="1">
      <c r="B916" s="24"/>
      <c r="C916" s="24"/>
      <c r="D916" s="24"/>
      <c r="E916" s="24"/>
      <c r="F916" s="24"/>
      <c r="G916" s="24"/>
      <c r="H916" s="24"/>
      <c r="I916" s="24"/>
      <c r="J916" s="24"/>
      <c r="M916" s="48"/>
      <c r="N916" s="48"/>
      <c r="O916" s="48"/>
      <c r="P916" s="50"/>
    </row>
    <row r="917" ht="15.0" customHeight="1">
      <c r="B917" s="24"/>
      <c r="C917" s="24"/>
      <c r="D917" s="24"/>
      <c r="E917" s="24"/>
      <c r="F917" s="24"/>
      <c r="G917" s="24"/>
      <c r="H917" s="24"/>
      <c r="I917" s="24"/>
      <c r="J917" s="24"/>
      <c r="M917" s="48"/>
      <c r="N917" s="48"/>
      <c r="O917" s="48"/>
      <c r="P917" s="50"/>
    </row>
    <row r="918" ht="15.0" customHeight="1">
      <c r="B918" s="24"/>
      <c r="C918" s="24"/>
      <c r="D918" s="24"/>
      <c r="E918" s="24"/>
      <c r="F918" s="24"/>
      <c r="G918" s="24"/>
      <c r="H918" s="24"/>
      <c r="I918" s="24"/>
      <c r="J918" s="24"/>
      <c r="M918" s="48"/>
      <c r="N918" s="48"/>
      <c r="O918" s="48"/>
      <c r="P918" s="50"/>
    </row>
    <row r="919" ht="15.0" customHeight="1">
      <c r="B919" s="24"/>
      <c r="C919" s="24"/>
      <c r="D919" s="24"/>
      <c r="E919" s="24"/>
      <c r="F919" s="24"/>
      <c r="G919" s="24"/>
      <c r="H919" s="24"/>
      <c r="I919" s="24"/>
      <c r="J919" s="24"/>
      <c r="M919" s="48"/>
      <c r="N919" s="48"/>
      <c r="O919" s="48"/>
      <c r="P919" s="50"/>
    </row>
    <row r="920" ht="15.0" customHeight="1">
      <c r="B920" s="24"/>
      <c r="C920" s="24"/>
      <c r="D920" s="24"/>
      <c r="E920" s="24"/>
      <c r="F920" s="24"/>
      <c r="G920" s="24"/>
      <c r="H920" s="24"/>
      <c r="I920" s="24"/>
      <c r="J920" s="24"/>
      <c r="M920" s="48"/>
      <c r="N920" s="48"/>
      <c r="O920" s="48"/>
      <c r="P920" s="50"/>
    </row>
    <row r="921" ht="15.0" customHeight="1">
      <c r="B921" s="24"/>
      <c r="C921" s="24"/>
      <c r="D921" s="24"/>
      <c r="E921" s="24"/>
      <c r="F921" s="24"/>
      <c r="G921" s="24"/>
      <c r="H921" s="24"/>
      <c r="I921" s="24"/>
      <c r="J921" s="24"/>
      <c r="M921" s="48"/>
      <c r="N921" s="48"/>
      <c r="O921" s="48"/>
      <c r="P921" s="50"/>
    </row>
    <row r="922" ht="15.0" customHeight="1">
      <c r="B922" s="24"/>
      <c r="C922" s="24"/>
      <c r="D922" s="24"/>
      <c r="E922" s="24"/>
      <c r="F922" s="24"/>
      <c r="G922" s="24"/>
      <c r="H922" s="24"/>
      <c r="I922" s="24"/>
      <c r="J922" s="24"/>
      <c r="M922" s="48"/>
      <c r="N922" s="48"/>
      <c r="O922" s="48"/>
      <c r="P922" s="50"/>
    </row>
    <row r="923" ht="15.0" customHeight="1">
      <c r="B923" s="24"/>
      <c r="C923" s="24"/>
      <c r="D923" s="24"/>
      <c r="E923" s="24"/>
      <c r="F923" s="24"/>
      <c r="G923" s="24"/>
      <c r="H923" s="24"/>
      <c r="I923" s="24"/>
      <c r="J923" s="24"/>
      <c r="M923" s="48"/>
      <c r="N923" s="48"/>
      <c r="O923" s="48"/>
      <c r="P923" s="50"/>
    </row>
    <row r="924" ht="15.0" customHeight="1">
      <c r="B924" s="24"/>
      <c r="C924" s="24"/>
      <c r="D924" s="24"/>
      <c r="E924" s="24"/>
      <c r="F924" s="24"/>
      <c r="G924" s="24"/>
      <c r="H924" s="24"/>
      <c r="I924" s="24"/>
      <c r="J924" s="24"/>
      <c r="M924" s="48"/>
      <c r="N924" s="48"/>
      <c r="O924" s="48"/>
      <c r="P924" s="50"/>
    </row>
    <row r="925" ht="15.0" customHeight="1">
      <c r="B925" s="24"/>
      <c r="C925" s="24"/>
      <c r="D925" s="24"/>
      <c r="E925" s="24"/>
      <c r="F925" s="24"/>
      <c r="G925" s="24"/>
      <c r="H925" s="24"/>
      <c r="I925" s="24"/>
      <c r="J925" s="24"/>
      <c r="M925" s="48"/>
      <c r="N925" s="48"/>
      <c r="O925" s="48"/>
      <c r="P925" s="50"/>
    </row>
    <row r="926" ht="15.0" customHeight="1">
      <c r="B926" s="24"/>
      <c r="C926" s="24"/>
      <c r="D926" s="24"/>
      <c r="E926" s="24"/>
      <c r="F926" s="24"/>
      <c r="G926" s="24"/>
      <c r="H926" s="24"/>
      <c r="I926" s="24"/>
      <c r="J926" s="24"/>
      <c r="M926" s="48"/>
      <c r="N926" s="48"/>
      <c r="O926" s="48"/>
      <c r="P926" s="50"/>
    </row>
    <row r="927" ht="15.0" customHeight="1">
      <c r="B927" s="24"/>
      <c r="C927" s="24"/>
      <c r="D927" s="24"/>
      <c r="E927" s="24"/>
      <c r="F927" s="24"/>
      <c r="G927" s="24"/>
      <c r="H927" s="24"/>
      <c r="I927" s="24"/>
      <c r="J927" s="24"/>
      <c r="M927" s="48"/>
      <c r="N927" s="48"/>
      <c r="O927" s="48"/>
      <c r="P927" s="50"/>
    </row>
    <row r="928" ht="15.0" customHeight="1">
      <c r="B928" s="24"/>
      <c r="C928" s="24"/>
      <c r="D928" s="24"/>
      <c r="E928" s="24"/>
      <c r="F928" s="24"/>
      <c r="G928" s="24"/>
      <c r="H928" s="24"/>
      <c r="I928" s="24"/>
      <c r="J928" s="24"/>
      <c r="M928" s="48"/>
      <c r="N928" s="48"/>
      <c r="O928" s="48"/>
      <c r="P928" s="50"/>
    </row>
    <row r="929" ht="15.0" customHeight="1">
      <c r="B929" s="24"/>
      <c r="C929" s="24"/>
      <c r="D929" s="24"/>
      <c r="E929" s="24"/>
      <c r="F929" s="24"/>
      <c r="G929" s="24"/>
      <c r="H929" s="24"/>
      <c r="I929" s="24"/>
      <c r="J929" s="24"/>
      <c r="M929" s="48"/>
      <c r="N929" s="48"/>
      <c r="O929" s="48"/>
      <c r="P929" s="50"/>
    </row>
    <row r="930" ht="15.0" customHeight="1">
      <c r="B930" s="24"/>
      <c r="C930" s="24"/>
      <c r="D930" s="24"/>
      <c r="E930" s="24"/>
      <c r="F930" s="24"/>
      <c r="G930" s="24"/>
      <c r="H930" s="24"/>
      <c r="I930" s="24"/>
      <c r="J930" s="24"/>
      <c r="M930" s="48"/>
      <c r="N930" s="48"/>
      <c r="O930" s="48"/>
      <c r="P930" s="50"/>
    </row>
    <row r="931" ht="15.0" customHeight="1">
      <c r="B931" s="24"/>
      <c r="C931" s="24"/>
      <c r="D931" s="24"/>
      <c r="E931" s="24"/>
      <c r="F931" s="24"/>
      <c r="G931" s="24"/>
      <c r="H931" s="24"/>
      <c r="I931" s="24"/>
      <c r="J931" s="24"/>
      <c r="M931" s="48"/>
      <c r="N931" s="48"/>
      <c r="O931" s="48"/>
      <c r="P931" s="50"/>
    </row>
    <row r="932" ht="15.0" customHeight="1">
      <c r="B932" s="24"/>
      <c r="C932" s="24"/>
      <c r="D932" s="24"/>
      <c r="E932" s="24"/>
      <c r="F932" s="24"/>
      <c r="G932" s="24"/>
      <c r="H932" s="24"/>
      <c r="I932" s="24"/>
      <c r="J932" s="24"/>
      <c r="M932" s="48"/>
      <c r="N932" s="48"/>
      <c r="O932" s="48"/>
      <c r="P932" s="50"/>
    </row>
    <row r="933" ht="15.0" customHeight="1">
      <c r="B933" s="24"/>
      <c r="C933" s="24"/>
      <c r="D933" s="24"/>
      <c r="E933" s="24"/>
      <c r="F933" s="24"/>
      <c r="G933" s="24"/>
      <c r="H933" s="24"/>
      <c r="I933" s="24"/>
      <c r="J933" s="24"/>
      <c r="M933" s="48"/>
      <c r="N933" s="48"/>
      <c r="O933" s="48"/>
      <c r="P933" s="50"/>
    </row>
    <row r="934" ht="15.0" customHeight="1">
      <c r="B934" s="24"/>
      <c r="C934" s="24"/>
      <c r="D934" s="24"/>
      <c r="E934" s="24"/>
      <c r="F934" s="24"/>
      <c r="G934" s="24"/>
      <c r="H934" s="24"/>
      <c r="I934" s="24"/>
      <c r="J934" s="24"/>
      <c r="M934" s="48"/>
      <c r="N934" s="48"/>
      <c r="O934" s="48"/>
      <c r="P934" s="50"/>
    </row>
    <row r="935" ht="15.0" customHeight="1">
      <c r="B935" s="24"/>
      <c r="C935" s="24"/>
      <c r="D935" s="24"/>
      <c r="E935" s="24"/>
      <c r="F935" s="24"/>
      <c r="G935" s="24"/>
      <c r="H935" s="24"/>
      <c r="I935" s="24"/>
      <c r="J935" s="24"/>
      <c r="M935" s="48"/>
      <c r="N935" s="48"/>
      <c r="O935" s="48"/>
      <c r="P935" s="50"/>
    </row>
    <row r="936" ht="15.0" customHeight="1">
      <c r="B936" s="24"/>
      <c r="C936" s="24"/>
      <c r="D936" s="24"/>
      <c r="E936" s="24"/>
      <c r="F936" s="24"/>
      <c r="G936" s="24"/>
      <c r="H936" s="24"/>
      <c r="I936" s="24"/>
      <c r="J936" s="24"/>
      <c r="M936" s="48"/>
      <c r="N936" s="48"/>
      <c r="O936" s="48"/>
      <c r="P936" s="50"/>
    </row>
    <row r="937" ht="15.0" customHeight="1">
      <c r="B937" s="24"/>
      <c r="C937" s="24"/>
      <c r="D937" s="24"/>
      <c r="E937" s="24"/>
      <c r="F937" s="24"/>
      <c r="G937" s="24"/>
      <c r="H937" s="24"/>
      <c r="I937" s="24"/>
      <c r="J937" s="24"/>
      <c r="M937" s="48"/>
      <c r="N937" s="48"/>
      <c r="O937" s="48"/>
      <c r="P937" s="50"/>
    </row>
    <row r="938" ht="15.0" customHeight="1">
      <c r="B938" s="24"/>
      <c r="C938" s="24"/>
      <c r="D938" s="24"/>
      <c r="E938" s="24"/>
      <c r="F938" s="24"/>
      <c r="G938" s="24"/>
      <c r="H938" s="24"/>
      <c r="I938" s="24"/>
      <c r="J938" s="24"/>
      <c r="M938" s="48"/>
      <c r="N938" s="48"/>
      <c r="O938" s="48"/>
      <c r="P938" s="50"/>
    </row>
    <row r="939" ht="15.0" customHeight="1">
      <c r="B939" s="24"/>
      <c r="C939" s="24"/>
      <c r="D939" s="24"/>
      <c r="E939" s="24"/>
      <c r="F939" s="24"/>
      <c r="G939" s="24"/>
      <c r="H939" s="24"/>
      <c r="I939" s="24"/>
      <c r="J939" s="24"/>
      <c r="M939" s="48"/>
      <c r="N939" s="48"/>
      <c r="O939" s="48"/>
      <c r="P939" s="50"/>
    </row>
    <row r="940" ht="15.0" customHeight="1">
      <c r="B940" s="24"/>
      <c r="C940" s="24"/>
      <c r="D940" s="24"/>
      <c r="E940" s="24"/>
      <c r="F940" s="24"/>
      <c r="G940" s="24"/>
      <c r="H940" s="24"/>
      <c r="I940" s="24"/>
      <c r="J940" s="24"/>
      <c r="M940" s="48"/>
      <c r="N940" s="48"/>
      <c r="O940" s="48"/>
      <c r="P940" s="50"/>
    </row>
    <row r="941" ht="15.0" customHeight="1">
      <c r="B941" s="24"/>
      <c r="C941" s="24"/>
      <c r="D941" s="24"/>
      <c r="E941" s="24"/>
      <c r="F941" s="24"/>
      <c r="G941" s="24"/>
      <c r="H941" s="24"/>
      <c r="I941" s="24"/>
      <c r="J941" s="24"/>
      <c r="M941" s="48"/>
      <c r="N941" s="48"/>
      <c r="O941" s="48"/>
      <c r="P941" s="50"/>
    </row>
    <row r="942" ht="15.0" customHeight="1">
      <c r="B942" s="24"/>
      <c r="C942" s="24"/>
      <c r="D942" s="24"/>
      <c r="E942" s="24"/>
      <c r="F942" s="24"/>
      <c r="G942" s="24"/>
      <c r="H942" s="24"/>
      <c r="I942" s="24"/>
      <c r="J942" s="24"/>
      <c r="M942" s="48"/>
      <c r="N942" s="48"/>
      <c r="O942" s="48"/>
      <c r="P942" s="50"/>
    </row>
    <row r="943" ht="15.0" customHeight="1">
      <c r="B943" s="24"/>
      <c r="C943" s="24"/>
      <c r="D943" s="24"/>
      <c r="E943" s="24"/>
      <c r="F943" s="24"/>
      <c r="G943" s="24"/>
      <c r="H943" s="24"/>
      <c r="I943" s="24"/>
      <c r="J943" s="24"/>
      <c r="M943" s="48"/>
      <c r="N943" s="48"/>
      <c r="O943" s="48"/>
      <c r="P943" s="50"/>
    </row>
    <row r="944" ht="15.0" customHeight="1">
      <c r="B944" s="24"/>
      <c r="C944" s="24"/>
      <c r="D944" s="24"/>
      <c r="E944" s="24"/>
      <c r="F944" s="24"/>
      <c r="G944" s="24"/>
      <c r="H944" s="24"/>
      <c r="I944" s="24"/>
      <c r="J944" s="24"/>
      <c r="M944" s="48"/>
      <c r="N944" s="48"/>
      <c r="O944" s="48"/>
      <c r="P944" s="50"/>
    </row>
    <row r="945" ht="15.0" customHeight="1">
      <c r="B945" s="24"/>
      <c r="C945" s="24"/>
      <c r="D945" s="24"/>
      <c r="E945" s="24"/>
      <c r="F945" s="24"/>
      <c r="G945" s="24"/>
      <c r="H945" s="24"/>
      <c r="I945" s="24"/>
      <c r="J945" s="24"/>
      <c r="M945" s="48"/>
      <c r="N945" s="48"/>
      <c r="O945" s="48"/>
      <c r="P945" s="50"/>
    </row>
    <row r="946" ht="15.0" customHeight="1">
      <c r="B946" s="24"/>
      <c r="C946" s="24"/>
      <c r="D946" s="24"/>
      <c r="E946" s="24"/>
      <c r="F946" s="24"/>
      <c r="G946" s="24"/>
      <c r="H946" s="24"/>
      <c r="I946" s="24"/>
      <c r="J946" s="24"/>
      <c r="M946" s="48"/>
      <c r="N946" s="48"/>
      <c r="O946" s="48"/>
      <c r="P946" s="50"/>
    </row>
    <row r="947" ht="15.0" customHeight="1">
      <c r="B947" s="24"/>
      <c r="C947" s="24"/>
      <c r="D947" s="24"/>
      <c r="E947" s="24"/>
      <c r="F947" s="24"/>
      <c r="G947" s="24"/>
      <c r="H947" s="24"/>
      <c r="I947" s="24"/>
      <c r="J947" s="24"/>
      <c r="M947" s="48"/>
      <c r="N947" s="48"/>
      <c r="O947" s="48"/>
      <c r="P947" s="50"/>
    </row>
    <row r="948" ht="15.0" customHeight="1">
      <c r="B948" s="24"/>
      <c r="C948" s="24"/>
      <c r="D948" s="24"/>
      <c r="E948" s="24"/>
      <c r="F948" s="24"/>
      <c r="G948" s="24"/>
      <c r="H948" s="24"/>
      <c r="I948" s="24"/>
      <c r="J948" s="24"/>
      <c r="M948" s="48"/>
      <c r="N948" s="48"/>
      <c r="O948" s="48"/>
      <c r="P948" s="50"/>
    </row>
    <row r="949" ht="15.0" customHeight="1">
      <c r="B949" s="24"/>
      <c r="C949" s="24"/>
      <c r="D949" s="24"/>
      <c r="E949" s="24"/>
      <c r="F949" s="24"/>
      <c r="G949" s="24"/>
      <c r="H949" s="24"/>
      <c r="I949" s="24"/>
      <c r="J949" s="24"/>
      <c r="M949" s="48"/>
      <c r="N949" s="48"/>
      <c r="O949" s="48"/>
      <c r="P949" s="50"/>
    </row>
    <row r="950" ht="15.0" customHeight="1">
      <c r="B950" s="24"/>
      <c r="C950" s="24"/>
      <c r="D950" s="24"/>
      <c r="E950" s="24"/>
      <c r="F950" s="24"/>
      <c r="G950" s="24"/>
      <c r="H950" s="24"/>
      <c r="I950" s="24"/>
      <c r="J950" s="24"/>
      <c r="M950" s="48"/>
      <c r="N950" s="48"/>
      <c r="O950" s="48"/>
      <c r="P950" s="50"/>
    </row>
    <row r="951" ht="15.0" customHeight="1">
      <c r="B951" s="24"/>
      <c r="C951" s="24"/>
      <c r="D951" s="24"/>
      <c r="E951" s="24"/>
      <c r="F951" s="24"/>
      <c r="G951" s="24"/>
      <c r="H951" s="24"/>
      <c r="I951" s="24"/>
      <c r="J951" s="24"/>
      <c r="M951" s="48"/>
      <c r="N951" s="48"/>
      <c r="O951" s="48"/>
      <c r="P951" s="50"/>
    </row>
    <row r="952" ht="15.0" customHeight="1">
      <c r="B952" s="24"/>
      <c r="C952" s="24"/>
      <c r="D952" s="24"/>
      <c r="E952" s="24"/>
      <c r="F952" s="24"/>
      <c r="G952" s="24"/>
      <c r="H952" s="24"/>
      <c r="I952" s="24"/>
      <c r="J952" s="24"/>
      <c r="M952" s="48"/>
      <c r="N952" s="48"/>
      <c r="O952" s="48"/>
      <c r="P952" s="50"/>
    </row>
    <row r="953" ht="15.0" customHeight="1">
      <c r="B953" s="24"/>
      <c r="C953" s="24"/>
      <c r="D953" s="24"/>
      <c r="E953" s="24"/>
      <c r="F953" s="24"/>
      <c r="G953" s="24"/>
      <c r="H953" s="24"/>
      <c r="I953" s="24"/>
      <c r="J953" s="24"/>
      <c r="M953" s="48"/>
      <c r="N953" s="48"/>
      <c r="O953" s="48"/>
      <c r="P953" s="50"/>
    </row>
    <row r="954" ht="15.0" customHeight="1">
      <c r="B954" s="24"/>
      <c r="C954" s="24"/>
      <c r="D954" s="24"/>
      <c r="E954" s="24"/>
      <c r="F954" s="24"/>
      <c r="G954" s="24"/>
      <c r="H954" s="24"/>
      <c r="I954" s="24"/>
      <c r="J954" s="24"/>
      <c r="M954" s="48"/>
      <c r="N954" s="48"/>
      <c r="O954" s="48"/>
      <c r="P954" s="50"/>
    </row>
    <row r="955" ht="15.0" customHeight="1">
      <c r="B955" s="24"/>
      <c r="C955" s="24"/>
      <c r="D955" s="24"/>
      <c r="E955" s="24"/>
      <c r="F955" s="24"/>
      <c r="G955" s="24"/>
      <c r="H955" s="24"/>
      <c r="I955" s="24"/>
      <c r="J955" s="24"/>
      <c r="M955" s="48"/>
      <c r="N955" s="48"/>
      <c r="O955" s="48"/>
      <c r="P955" s="50"/>
    </row>
    <row r="956" ht="15.0" customHeight="1">
      <c r="B956" s="24"/>
      <c r="C956" s="24"/>
      <c r="D956" s="24"/>
      <c r="E956" s="24"/>
      <c r="F956" s="24"/>
      <c r="G956" s="24"/>
      <c r="H956" s="24"/>
      <c r="I956" s="24"/>
      <c r="J956" s="24"/>
      <c r="M956" s="48"/>
      <c r="N956" s="48"/>
      <c r="O956" s="48"/>
      <c r="P956" s="50"/>
    </row>
    <row r="957" ht="15.0" customHeight="1">
      <c r="B957" s="24"/>
      <c r="C957" s="24"/>
      <c r="D957" s="24"/>
      <c r="E957" s="24"/>
      <c r="F957" s="24"/>
      <c r="G957" s="24"/>
      <c r="H957" s="24"/>
      <c r="I957" s="24"/>
      <c r="J957" s="24"/>
      <c r="M957" s="48"/>
      <c r="N957" s="48"/>
      <c r="O957" s="48"/>
      <c r="P957" s="50"/>
    </row>
    <row r="958" ht="15.0" customHeight="1">
      <c r="B958" s="24"/>
      <c r="C958" s="24"/>
      <c r="D958" s="24"/>
      <c r="E958" s="24"/>
      <c r="F958" s="24"/>
      <c r="G958" s="24"/>
      <c r="H958" s="24"/>
      <c r="I958" s="24"/>
      <c r="J958" s="24"/>
      <c r="M958" s="48"/>
      <c r="N958" s="48"/>
      <c r="O958" s="48"/>
      <c r="P958" s="50"/>
    </row>
    <row r="959" ht="15.0" customHeight="1">
      <c r="B959" s="24"/>
      <c r="C959" s="24"/>
      <c r="D959" s="24"/>
      <c r="E959" s="24"/>
      <c r="F959" s="24"/>
      <c r="G959" s="24"/>
      <c r="H959" s="24"/>
      <c r="I959" s="24"/>
      <c r="J959" s="24"/>
      <c r="M959" s="48"/>
      <c r="N959" s="48"/>
      <c r="O959" s="48"/>
      <c r="P959" s="50"/>
    </row>
    <row r="960" ht="15.0" customHeight="1">
      <c r="B960" s="24"/>
      <c r="C960" s="24"/>
      <c r="D960" s="24"/>
      <c r="E960" s="24"/>
      <c r="F960" s="24"/>
      <c r="G960" s="24"/>
      <c r="H960" s="24"/>
      <c r="I960" s="24"/>
      <c r="J960" s="24"/>
      <c r="M960" s="48"/>
      <c r="N960" s="48"/>
      <c r="O960" s="48"/>
      <c r="P960" s="50"/>
    </row>
    <row r="961" ht="15.0" customHeight="1">
      <c r="B961" s="24"/>
      <c r="C961" s="24"/>
      <c r="D961" s="24"/>
      <c r="E961" s="24"/>
      <c r="F961" s="24"/>
      <c r="G961" s="24"/>
      <c r="H961" s="24"/>
      <c r="I961" s="24"/>
      <c r="J961" s="24"/>
      <c r="M961" s="48"/>
      <c r="N961" s="48"/>
      <c r="O961" s="48"/>
      <c r="P961" s="50"/>
    </row>
    <row r="962" ht="15.0" customHeight="1">
      <c r="B962" s="24"/>
      <c r="C962" s="24"/>
      <c r="D962" s="24"/>
      <c r="E962" s="24"/>
      <c r="F962" s="24"/>
      <c r="G962" s="24"/>
      <c r="H962" s="24"/>
      <c r="I962" s="24"/>
      <c r="J962" s="24"/>
      <c r="M962" s="48"/>
      <c r="N962" s="48"/>
      <c r="O962" s="48"/>
      <c r="P962" s="50"/>
    </row>
    <row r="963" ht="15.0" customHeight="1">
      <c r="B963" s="24"/>
      <c r="C963" s="24"/>
      <c r="D963" s="24"/>
      <c r="E963" s="24"/>
      <c r="F963" s="24"/>
      <c r="G963" s="24"/>
      <c r="H963" s="24"/>
      <c r="I963" s="24"/>
      <c r="J963" s="24"/>
      <c r="M963" s="48"/>
      <c r="N963" s="48"/>
      <c r="O963" s="48"/>
      <c r="P963" s="50"/>
    </row>
    <row r="964" ht="15.0" customHeight="1">
      <c r="B964" s="24"/>
      <c r="C964" s="24"/>
      <c r="D964" s="24"/>
      <c r="E964" s="24"/>
      <c r="F964" s="24"/>
      <c r="G964" s="24"/>
      <c r="H964" s="24"/>
      <c r="I964" s="24"/>
      <c r="J964" s="24"/>
      <c r="M964" s="48"/>
      <c r="N964" s="48"/>
      <c r="O964" s="48"/>
      <c r="P964" s="50"/>
    </row>
    <row r="965" ht="15.0" customHeight="1">
      <c r="B965" s="24"/>
      <c r="C965" s="24"/>
      <c r="D965" s="24"/>
      <c r="E965" s="24"/>
      <c r="F965" s="24"/>
      <c r="G965" s="24"/>
      <c r="H965" s="24"/>
      <c r="I965" s="24"/>
      <c r="J965" s="24"/>
      <c r="M965" s="48"/>
      <c r="N965" s="48"/>
      <c r="O965" s="48"/>
      <c r="P965" s="50"/>
    </row>
    <row r="966" ht="15.0" customHeight="1">
      <c r="B966" s="24"/>
      <c r="C966" s="24"/>
      <c r="D966" s="24"/>
      <c r="E966" s="24"/>
      <c r="F966" s="24"/>
      <c r="G966" s="24"/>
      <c r="H966" s="24"/>
      <c r="I966" s="24"/>
      <c r="J966" s="24"/>
      <c r="M966" s="48"/>
      <c r="N966" s="48"/>
      <c r="O966" s="48"/>
      <c r="P966" s="50"/>
    </row>
    <row r="967" ht="15.0" customHeight="1">
      <c r="B967" s="24"/>
      <c r="C967" s="24"/>
      <c r="D967" s="24"/>
      <c r="E967" s="24"/>
      <c r="F967" s="24"/>
      <c r="G967" s="24"/>
      <c r="H967" s="24"/>
      <c r="I967" s="24"/>
      <c r="J967" s="24"/>
      <c r="M967" s="48"/>
      <c r="N967" s="48"/>
      <c r="O967" s="48"/>
      <c r="P967" s="50"/>
    </row>
    <row r="968" ht="15.0" customHeight="1">
      <c r="B968" s="24"/>
      <c r="C968" s="24"/>
      <c r="D968" s="24"/>
      <c r="E968" s="24"/>
      <c r="F968" s="24"/>
      <c r="G968" s="24"/>
      <c r="H968" s="24"/>
      <c r="I968" s="24"/>
      <c r="J968" s="24"/>
      <c r="M968" s="48"/>
      <c r="N968" s="48"/>
      <c r="O968" s="48"/>
      <c r="P968" s="50"/>
    </row>
    <row r="969" ht="15.0" customHeight="1">
      <c r="B969" s="24"/>
      <c r="C969" s="24"/>
      <c r="D969" s="24"/>
      <c r="E969" s="24"/>
      <c r="F969" s="24"/>
      <c r="G969" s="24"/>
      <c r="H969" s="24"/>
      <c r="I969" s="24"/>
      <c r="J969" s="24"/>
      <c r="M969" s="48"/>
      <c r="N969" s="48"/>
      <c r="O969" s="48"/>
      <c r="P969" s="50"/>
    </row>
    <row r="970" ht="15.0" customHeight="1">
      <c r="B970" s="24"/>
      <c r="C970" s="24"/>
      <c r="D970" s="24"/>
      <c r="E970" s="24"/>
      <c r="F970" s="24"/>
      <c r="G970" s="24"/>
      <c r="H970" s="24"/>
      <c r="I970" s="24"/>
      <c r="J970" s="24"/>
      <c r="M970" s="48"/>
      <c r="N970" s="48"/>
      <c r="O970" s="48"/>
      <c r="P970" s="50"/>
    </row>
    <row r="971" ht="15.0" customHeight="1">
      <c r="B971" s="24"/>
      <c r="C971" s="24"/>
      <c r="D971" s="24"/>
      <c r="E971" s="24"/>
      <c r="F971" s="24"/>
      <c r="G971" s="24"/>
      <c r="H971" s="24"/>
      <c r="I971" s="24"/>
      <c r="J971" s="24"/>
      <c r="M971" s="48"/>
      <c r="N971" s="48"/>
      <c r="O971" s="48"/>
      <c r="P971" s="50"/>
    </row>
    <row r="972" ht="15.0" customHeight="1">
      <c r="B972" s="24"/>
      <c r="C972" s="24"/>
      <c r="D972" s="24"/>
      <c r="E972" s="24"/>
      <c r="F972" s="24"/>
      <c r="G972" s="24"/>
      <c r="H972" s="24"/>
      <c r="I972" s="24"/>
      <c r="J972" s="24"/>
      <c r="M972" s="48"/>
      <c r="N972" s="48"/>
      <c r="O972" s="48"/>
      <c r="P972" s="50"/>
    </row>
    <row r="973" ht="15.0" customHeight="1">
      <c r="B973" s="24"/>
      <c r="C973" s="24"/>
      <c r="D973" s="24"/>
      <c r="E973" s="24"/>
      <c r="F973" s="24"/>
      <c r="G973" s="24"/>
      <c r="H973" s="24"/>
      <c r="I973" s="24"/>
      <c r="J973" s="24"/>
      <c r="M973" s="48"/>
      <c r="N973" s="48"/>
      <c r="O973" s="48"/>
      <c r="P973" s="50"/>
    </row>
    <row r="974" ht="15.0" customHeight="1">
      <c r="B974" s="24"/>
      <c r="C974" s="24"/>
      <c r="D974" s="24"/>
      <c r="E974" s="24"/>
      <c r="F974" s="24"/>
      <c r="G974" s="24"/>
      <c r="H974" s="24"/>
      <c r="I974" s="24"/>
      <c r="J974" s="24"/>
      <c r="M974" s="48"/>
      <c r="N974" s="48"/>
      <c r="O974" s="48"/>
      <c r="P974" s="50"/>
    </row>
    <row r="975" ht="15.0" customHeight="1">
      <c r="B975" s="24"/>
      <c r="C975" s="24"/>
      <c r="D975" s="24"/>
      <c r="E975" s="24"/>
      <c r="F975" s="24"/>
      <c r="G975" s="24"/>
      <c r="H975" s="24"/>
      <c r="I975" s="24"/>
      <c r="J975" s="24"/>
      <c r="M975" s="48"/>
      <c r="N975" s="48"/>
      <c r="O975" s="48"/>
      <c r="P975" s="50"/>
    </row>
    <row r="976" ht="15.0" customHeight="1">
      <c r="B976" s="24"/>
      <c r="C976" s="24"/>
      <c r="D976" s="24"/>
      <c r="E976" s="24"/>
      <c r="F976" s="24"/>
      <c r="G976" s="24"/>
      <c r="H976" s="24"/>
      <c r="I976" s="24"/>
      <c r="J976" s="24"/>
      <c r="M976" s="48"/>
      <c r="N976" s="48"/>
      <c r="O976" s="48"/>
      <c r="P976" s="50"/>
    </row>
    <row r="977" ht="15.0" customHeight="1">
      <c r="B977" s="24"/>
      <c r="C977" s="24"/>
      <c r="D977" s="24"/>
      <c r="E977" s="24"/>
      <c r="F977" s="24"/>
      <c r="G977" s="24"/>
      <c r="H977" s="24"/>
      <c r="I977" s="24"/>
      <c r="J977" s="24"/>
      <c r="M977" s="48"/>
      <c r="N977" s="48"/>
      <c r="O977" s="48"/>
      <c r="P977" s="50"/>
    </row>
    <row r="978" ht="15.0" customHeight="1">
      <c r="B978" s="24"/>
      <c r="C978" s="24"/>
      <c r="D978" s="24"/>
      <c r="E978" s="24"/>
      <c r="F978" s="24"/>
      <c r="G978" s="24"/>
      <c r="H978" s="24"/>
      <c r="I978" s="24"/>
      <c r="J978" s="24"/>
      <c r="M978" s="48"/>
      <c r="N978" s="48"/>
      <c r="O978" s="48"/>
      <c r="P978" s="50"/>
    </row>
    <row r="979" ht="15.0" customHeight="1">
      <c r="B979" s="24"/>
      <c r="C979" s="24"/>
      <c r="D979" s="24"/>
      <c r="E979" s="24"/>
      <c r="F979" s="24"/>
      <c r="G979" s="24"/>
      <c r="H979" s="24"/>
      <c r="I979" s="24"/>
      <c r="J979" s="24"/>
      <c r="M979" s="48"/>
      <c r="N979" s="48"/>
      <c r="O979" s="48"/>
      <c r="P979" s="50"/>
    </row>
    <row r="980" ht="15.0" customHeight="1">
      <c r="B980" s="24"/>
      <c r="C980" s="24"/>
      <c r="D980" s="24"/>
      <c r="E980" s="24"/>
      <c r="F980" s="24"/>
      <c r="G980" s="24"/>
      <c r="H980" s="24"/>
      <c r="I980" s="24"/>
      <c r="J980" s="24"/>
      <c r="M980" s="48"/>
      <c r="N980" s="48"/>
      <c r="O980" s="48"/>
      <c r="P980" s="50"/>
    </row>
    <row r="981" ht="15.0" customHeight="1">
      <c r="B981" s="24"/>
      <c r="C981" s="24"/>
      <c r="D981" s="24"/>
      <c r="E981" s="24"/>
      <c r="F981" s="24"/>
      <c r="G981" s="24"/>
      <c r="H981" s="24"/>
      <c r="I981" s="24"/>
      <c r="J981" s="24"/>
      <c r="M981" s="48"/>
      <c r="N981" s="48"/>
      <c r="O981" s="48"/>
      <c r="P981" s="50"/>
    </row>
    <row r="982" ht="15.0" customHeight="1">
      <c r="B982" s="24"/>
      <c r="C982" s="24"/>
      <c r="D982" s="24"/>
      <c r="E982" s="24"/>
      <c r="F982" s="24"/>
      <c r="G982" s="24"/>
      <c r="H982" s="24"/>
      <c r="I982" s="24"/>
      <c r="J982" s="24"/>
      <c r="M982" s="48"/>
      <c r="N982" s="48"/>
      <c r="O982" s="48"/>
      <c r="P982" s="50"/>
    </row>
    <row r="983" ht="15.0" customHeight="1">
      <c r="B983" s="24"/>
      <c r="C983" s="24"/>
      <c r="D983" s="24"/>
      <c r="E983" s="24"/>
      <c r="F983" s="24"/>
      <c r="G983" s="24"/>
      <c r="H983" s="24"/>
      <c r="I983" s="24"/>
      <c r="J983" s="24"/>
      <c r="M983" s="48"/>
      <c r="N983" s="48"/>
      <c r="O983" s="48"/>
      <c r="P983" s="50"/>
    </row>
    <row r="984" ht="15.0" customHeight="1">
      <c r="B984" s="24"/>
      <c r="C984" s="24"/>
      <c r="D984" s="24"/>
      <c r="E984" s="24"/>
      <c r="F984" s="24"/>
      <c r="G984" s="24"/>
      <c r="H984" s="24"/>
      <c r="I984" s="24"/>
      <c r="J984" s="24"/>
      <c r="M984" s="48"/>
      <c r="N984" s="48"/>
      <c r="O984" s="48"/>
      <c r="P984" s="50"/>
    </row>
    <row r="985" ht="15.0" customHeight="1">
      <c r="B985" s="24"/>
      <c r="C985" s="24"/>
      <c r="D985" s="24"/>
      <c r="E985" s="24"/>
      <c r="F985" s="24"/>
      <c r="G985" s="24"/>
      <c r="H985" s="24"/>
      <c r="I985" s="24"/>
      <c r="J985" s="24"/>
      <c r="M985" s="48"/>
      <c r="N985" s="48"/>
      <c r="O985" s="48"/>
      <c r="P985" s="50"/>
    </row>
    <row r="986" ht="15.0" customHeight="1">
      <c r="B986" s="24"/>
      <c r="C986" s="24"/>
      <c r="D986" s="24"/>
      <c r="E986" s="24"/>
      <c r="F986" s="24"/>
      <c r="G986" s="24"/>
      <c r="H986" s="24"/>
      <c r="I986" s="24"/>
      <c r="J986" s="24"/>
      <c r="M986" s="48"/>
      <c r="N986" s="48"/>
      <c r="O986" s="48"/>
      <c r="P986" s="50"/>
    </row>
    <row r="987" ht="15.0" customHeight="1">
      <c r="B987" s="24"/>
      <c r="C987" s="24"/>
      <c r="D987" s="24"/>
      <c r="E987" s="24"/>
      <c r="F987" s="24"/>
      <c r="G987" s="24"/>
      <c r="H987" s="24"/>
      <c r="I987" s="24"/>
      <c r="J987" s="24"/>
      <c r="M987" s="48"/>
      <c r="N987" s="48"/>
      <c r="O987" s="48"/>
      <c r="P987" s="50"/>
    </row>
    <row r="988" ht="15.0" customHeight="1">
      <c r="B988" s="24"/>
      <c r="C988" s="24"/>
      <c r="D988" s="24"/>
      <c r="E988" s="24"/>
      <c r="F988" s="24"/>
      <c r="G988" s="24"/>
      <c r="H988" s="24"/>
      <c r="I988" s="24"/>
      <c r="J988" s="24"/>
      <c r="M988" s="48"/>
      <c r="N988" s="48"/>
      <c r="O988" s="48"/>
      <c r="P988" s="50"/>
    </row>
    <row r="989" ht="15.0" customHeight="1">
      <c r="B989" s="24"/>
      <c r="C989" s="24"/>
      <c r="D989" s="24"/>
      <c r="E989" s="24"/>
      <c r="F989" s="24"/>
      <c r="G989" s="24"/>
      <c r="H989" s="24"/>
      <c r="I989" s="24"/>
      <c r="J989" s="24"/>
      <c r="M989" s="48"/>
      <c r="N989" s="48"/>
      <c r="O989" s="48"/>
      <c r="P989" s="50"/>
    </row>
    <row r="990" ht="15.0" customHeight="1">
      <c r="B990" s="24"/>
      <c r="C990" s="24"/>
      <c r="D990" s="24"/>
      <c r="E990" s="24"/>
      <c r="F990" s="24"/>
      <c r="G990" s="24"/>
      <c r="H990" s="24"/>
      <c r="I990" s="24"/>
      <c r="J990" s="24"/>
      <c r="M990" s="48"/>
      <c r="N990" s="48"/>
      <c r="O990" s="48"/>
      <c r="P990" s="50"/>
    </row>
    <row r="991" ht="15.0" customHeight="1">
      <c r="B991" s="24"/>
      <c r="C991" s="24"/>
      <c r="D991" s="24"/>
      <c r="E991" s="24"/>
      <c r="F991" s="24"/>
      <c r="G991" s="24"/>
      <c r="H991" s="24"/>
      <c r="I991" s="24"/>
      <c r="J991" s="24"/>
      <c r="M991" s="48"/>
      <c r="N991" s="48"/>
      <c r="O991" s="48"/>
      <c r="P991" s="50"/>
    </row>
    <row r="992" ht="15.0" customHeight="1">
      <c r="B992" s="24"/>
      <c r="C992" s="24"/>
      <c r="D992" s="24"/>
      <c r="E992" s="24"/>
      <c r="F992" s="24"/>
      <c r="G992" s="24"/>
      <c r="H992" s="24"/>
      <c r="I992" s="24"/>
      <c r="J992" s="24"/>
      <c r="M992" s="48"/>
      <c r="N992" s="48"/>
      <c r="O992" s="48"/>
      <c r="P992" s="50"/>
    </row>
    <row r="993" ht="15.0" customHeight="1">
      <c r="B993" s="24"/>
      <c r="C993" s="24"/>
      <c r="D993" s="24"/>
      <c r="E993" s="24"/>
      <c r="F993" s="24"/>
      <c r="G993" s="24"/>
      <c r="H993" s="24"/>
      <c r="I993" s="24"/>
      <c r="J993" s="24"/>
      <c r="M993" s="48"/>
      <c r="N993" s="48"/>
      <c r="O993" s="48"/>
      <c r="P993" s="50"/>
    </row>
    <row r="994" ht="15.0" customHeight="1">
      <c r="B994" s="24"/>
      <c r="C994" s="24"/>
      <c r="D994" s="24"/>
      <c r="E994" s="24"/>
      <c r="F994" s="24"/>
      <c r="G994" s="24"/>
      <c r="H994" s="24"/>
      <c r="I994" s="24"/>
      <c r="J994" s="24"/>
      <c r="M994" s="48"/>
      <c r="N994" s="48"/>
      <c r="O994" s="48"/>
      <c r="P994" s="50"/>
    </row>
    <row r="995" ht="15.0" customHeight="1">
      <c r="B995" s="24"/>
      <c r="C995" s="24"/>
      <c r="D995" s="24"/>
      <c r="E995" s="24"/>
      <c r="F995" s="24"/>
      <c r="G995" s="24"/>
      <c r="H995" s="24"/>
      <c r="I995" s="24"/>
      <c r="J995" s="24"/>
      <c r="M995" s="48"/>
      <c r="N995" s="48"/>
      <c r="O995" s="48"/>
      <c r="P995" s="50"/>
    </row>
    <row r="996" ht="15.0" customHeight="1">
      <c r="B996" s="24"/>
      <c r="C996" s="24"/>
      <c r="D996" s="24"/>
      <c r="E996" s="24"/>
      <c r="F996" s="24"/>
      <c r="G996" s="24"/>
      <c r="H996" s="24"/>
      <c r="I996" s="24"/>
      <c r="J996" s="24"/>
      <c r="M996" s="48"/>
      <c r="N996" s="48"/>
      <c r="O996" s="48"/>
      <c r="P996" s="50"/>
    </row>
    <row r="997" ht="15.0" customHeight="1">
      <c r="B997" s="24"/>
      <c r="C997" s="24"/>
      <c r="D997" s="24"/>
      <c r="E997" s="24"/>
      <c r="F997" s="24"/>
      <c r="G997" s="24"/>
      <c r="H997" s="24"/>
      <c r="I997" s="24"/>
      <c r="J997" s="24"/>
      <c r="M997" s="48"/>
      <c r="N997" s="48"/>
      <c r="O997" s="48"/>
      <c r="P997" s="50"/>
    </row>
    <row r="998" ht="15.0" customHeight="1">
      <c r="B998" s="24"/>
      <c r="C998" s="24"/>
      <c r="D998" s="24"/>
      <c r="E998" s="24"/>
      <c r="F998" s="24"/>
      <c r="G998" s="24"/>
      <c r="H998" s="24"/>
      <c r="I998" s="24"/>
      <c r="J998" s="24"/>
      <c r="M998" s="48"/>
      <c r="N998" s="48"/>
      <c r="O998" s="48"/>
      <c r="P998" s="50"/>
    </row>
    <row r="999" ht="15.0" customHeight="1">
      <c r="B999" s="24"/>
      <c r="C999" s="24"/>
      <c r="D999" s="24"/>
      <c r="E999" s="24"/>
      <c r="F999" s="24"/>
      <c r="G999" s="24"/>
      <c r="H999" s="24"/>
      <c r="I999" s="24"/>
      <c r="J999" s="24"/>
      <c r="M999" s="48"/>
      <c r="N999" s="48"/>
      <c r="O999" s="48"/>
      <c r="P999" s="50"/>
    </row>
  </sheetData>
  <mergeCells count="3">
    <mergeCell ref="B1:D1"/>
    <mergeCell ref="E1:G1"/>
    <mergeCell ref="H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8.75"/>
    <col customWidth="1" min="3" max="3" width="21.63"/>
    <col customWidth="1" min="4" max="4" width="20.25"/>
    <col customWidth="1" min="5" max="5" width="20.75"/>
  </cols>
  <sheetData>
    <row r="1">
      <c r="A1" s="10" t="s">
        <v>18</v>
      </c>
      <c r="B1" s="10" t="s">
        <v>147</v>
      </c>
      <c r="C1" s="47" t="s">
        <v>148</v>
      </c>
      <c r="D1" s="10" t="s">
        <v>149</v>
      </c>
      <c r="E1" s="10" t="s">
        <v>150</v>
      </c>
    </row>
    <row r="2">
      <c r="A2" s="15" t="s">
        <v>116</v>
      </c>
      <c r="B2" s="48">
        <f>VLOOKUP(A2, '% Change in Median Hourly Wages'!A:E, 5, FALSE) -VLOOKUP(A2, '% Change in Avg Hourly Wages'!A:M, 13, FALSE)</f>
        <v>-18.92971748</v>
      </c>
      <c r="C2" s="48">
        <v>2.4193548387096775</v>
      </c>
      <c r="D2" s="49">
        <f>CORREL(B2:B51,C2:C51)</f>
        <v>-0.06369482404</v>
      </c>
      <c r="E2" s="49">
        <f>CORREL(B3:B51,C3:C51)</f>
        <v>-0.1145715115</v>
      </c>
    </row>
    <row r="3">
      <c r="A3" s="15" t="s">
        <v>115</v>
      </c>
      <c r="B3" s="48">
        <f>VLOOKUP(A3, '% Change in Median Hourly Wages'!A:E, 5, FALSE) -VLOOKUP(A3, '% Change in Avg Hourly Wages'!A:M, 13, FALSE)</f>
        <v>-10.40468678</v>
      </c>
      <c r="C3" s="48">
        <v>12.264150943396226</v>
      </c>
    </row>
    <row r="4">
      <c r="A4" s="15" t="s">
        <v>46</v>
      </c>
      <c r="B4" s="48">
        <f>VLOOKUP(A4, '% Change in Median Hourly Wages'!A:E, 5, FALSE) -VLOOKUP(A4, '% Change in Avg Hourly Wages'!A:M, 13, FALSE)</f>
        <v>-7.053057402</v>
      </c>
      <c r="C4" s="48">
        <v>19.841269841269842</v>
      </c>
    </row>
    <row r="5">
      <c r="A5" s="15" t="s">
        <v>48</v>
      </c>
      <c r="B5" s="48">
        <f>VLOOKUP(A5, '% Change in Median Hourly Wages'!A:E, 5, FALSE) -VLOOKUP(A5, '% Change in Avg Hourly Wages'!A:M, 13, FALSE)</f>
        <v>-6.192282508</v>
      </c>
      <c r="C5" s="48">
        <v>-1.9607843137254901</v>
      </c>
    </row>
    <row r="6">
      <c r="A6" s="15" t="s">
        <v>134</v>
      </c>
      <c r="B6" s="48">
        <f>VLOOKUP(A6, '% Change in Median Hourly Wages'!A:E, 5, FALSE) -VLOOKUP(A6, '% Change in Avg Hourly Wages'!A:M, 13, FALSE)</f>
        <v>-5.715717849</v>
      </c>
      <c r="C6" s="48">
        <v>0.881057268722467</v>
      </c>
    </row>
    <row r="7">
      <c r="A7" s="15" t="s">
        <v>100</v>
      </c>
      <c r="B7" s="48">
        <f>VLOOKUP(A7, '% Change in Median Hourly Wages'!A:E, 5, FALSE) -VLOOKUP(A7, '% Change in Avg Hourly Wages'!A:M, 13, FALSE)</f>
        <v>-5.701950649</v>
      </c>
      <c r="C7" s="48">
        <v>-3.4782608695652173</v>
      </c>
    </row>
    <row r="8">
      <c r="A8" s="15" t="s">
        <v>56</v>
      </c>
      <c r="B8" s="48">
        <f>VLOOKUP(A8, '% Change in Median Hourly Wages'!A:E, 5, FALSE) -VLOOKUP(A8, '% Change in Avg Hourly Wages'!A:M, 13, FALSE)</f>
        <v>-5.522360706</v>
      </c>
      <c r="C8" s="48">
        <v>-6.6115702479338845</v>
      </c>
    </row>
    <row r="9">
      <c r="A9" s="15" t="s">
        <v>94</v>
      </c>
      <c r="B9" s="48">
        <f>VLOOKUP(A9, '% Change in Median Hourly Wages'!A:E, 5, FALSE) -VLOOKUP(A9, '% Change in Avg Hourly Wages'!A:M, 13, FALSE)</f>
        <v>-4.855339221</v>
      </c>
      <c r="C9" s="48">
        <v>4.545454545454546</v>
      </c>
    </row>
    <row r="10">
      <c r="A10" s="15" t="s">
        <v>123</v>
      </c>
      <c r="B10" s="48">
        <f>VLOOKUP(A10, '% Change in Median Hourly Wages'!A:E, 5, FALSE) -VLOOKUP(A10, '% Change in Avg Hourly Wages'!A:M, 13, FALSE)</f>
        <v>-4.814987261</v>
      </c>
      <c r="C10" s="48">
        <v>18.501841997544002</v>
      </c>
    </row>
    <row r="11">
      <c r="A11" s="15" t="s">
        <v>54</v>
      </c>
      <c r="B11" s="48">
        <f>VLOOKUP(A11, '% Change in Median Hourly Wages'!A:E, 5, FALSE) -VLOOKUP(A11, '% Change in Avg Hourly Wages'!A:M, 13, FALSE)</f>
        <v>-3.710734299</v>
      </c>
      <c r="C11" s="48">
        <v>6.639004149377594</v>
      </c>
    </row>
    <row r="12">
      <c r="A12" s="15" t="s">
        <v>76</v>
      </c>
      <c r="B12" s="48">
        <f>VLOOKUP(A12, '% Change in Median Hourly Wages'!A:E, 5, FALSE) -VLOOKUP(A12, '% Change in Avg Hourly Wages'!A:M, 13, FALSE)</f>
        <v>-3.671277344</v>
      </c>
      <c r="C12" s="48">
        <v>-4.954954954954955</v>
      </c>
    </row>
    <row r="13">
      <c r="A13" s="15" t="s">
        <v>50</v>
      </c>
      <c r="B13" s="48">
        <f>VLOOKUP(A13, '% Change in Median Hourly Wages'!A:E, 5, FALSE) -VLOOKUP(A13, '% Change in Avg Hourly Wages'!A:M, 13, FALSE)</f>
        <v>-3.516632839</v>
      </c>
      <c r="C13" s="48">
        <v>0.5900109769484084</v>
      </c>
    </row>
    <row r="14">
      <c r="A14" s="15" t="s">
        <v>70</v>
      </c>
      <c r="B14" s="48">
        <f>VLOOKUP(A14, '% Change in Median Hourly Wages'!A:E, 5, FALSE) -VLOOKUP(A14, '% Change in Avg Hourly Wages'!A:M, 13, FALSE)</f>
        <v>-3.4324877</v>
      </c>
      <c r="C14" s="48">
        <v>38.38926174496644</v>
      </c>
    </row>
    <row r="15">
      <c r="A15" s="15" t="s">
        <v>52</v>
      </c>
      <c r="B15" s="48">
        <f>VLOOKUP(A15, '% Change in Median Hourly Wages'!A:E, 5, FALSE) -VLOOKUP(A15, '% Change in Avg Hourly Wages'!A:M, 13, FALSE)</f>
        <v>-3.377283711</v>
      </c>
      <c r="C15" s="48">
        <v>5.58659217877095</v>
      </c>
    </row>
    <row r="16">
      <c r="A16" s="15" t="s">
        <v>118</v>
      </c>
      <c r="B16" s="48">
        <f>VLOOKUP(A16, '% Change in Median Hourly Wages'!A:E, 5, FALSE) -VLOOKUP(A16, '% Change in Avg Hourly Wages'!A:M, 13, FALSE)</f>
        <v>-2.853474575</v>
      </c>
      <c r="C16" s="48">
        <v>12.452830188679245</v>
      </c>
    </row>
    <row r="17">
      <c r="A17" s="15" t="s">
        <v>68</v>
      </c>
      <c r="B17" s="48">
        <f>VLOOKUP(A17, '% Change in Median Hourly Wages'!A:E, 5, FALSE) -VLOOKUP(A17, '% Change in Avg Hourly Wages'!A:M, 13, FALSE)</f>
        <v>-2.852932518</v>
      </c>
      <c r="C17" s="48">
        <v>21.533546325878593</v>
      </c>
    </row>
    <row r="18">
      <c r="A18" s="15" t="s">
        <v>109</v>
      </c>
      <c r="B18" s="48">
        <f>VLOOKUP(A18, '% Change in Median Hourly Wages'!A:E, 5, FALSE) -VLOOKUP(A18, '% Change in Avg Hourly Wages'!A:M, 13, FALSE)</f>
        <v>-2.761683053</v>
      </c>
      <c r="C18" s="48">
        <v>14.362850971922247</v>
      </c>
    </row>
    <row r="19">
      <c r="A19" s="15" t="s">
        <v>86</v>
      </c>
      <c r="B19" s="48">
        <f>VLOOKUP(A19, '% Change in Median Hourly Wages'!A:E, 5, FALSE) -VLOOKUP(A19, '% Change in Avg Hourly Wages'!A:M, 13, FALSE)</f>
        <v>-2.4272025</v>
      </c>
      <c r="C19" s="48">
        <v>27.21631205673759</v>
      </c>
    </row>
    <row r="20">
      <c r="A20" s="15" t="s">
        <v>90</v>
      </c>
      <c r="B20" s="48">
        <f>VLOOKUP(A20, '% Change in Median Hourly Wages'!A:E, 5, FALSE) -VLOOKUP(A20, '% Change in Avg Hourly Wages'!A:M, 13, FALSE)</f>
        <v>-2.140699715</v>
      </c>
      <c r="C20" s="48">
        <v>3.14769975786925</v>
      </c>
    </row>
    <row r="21">
      <c r="A21" s="15" t="s">
        <v>82</v>
      </c>
      <c r="B21" s="48">
        <f>VLOOKUP(A21, '% Change in Median Hourly Wages'!A:E, 5, FALSE) -VLOOKUP(A21, '% Change in Avg Hourly Wages'!A:M, 13, FALSE)</f>
        <v>-1.796960735</v>
      </c>
      <c r="C21" s="48">
        <v>-6.948798328108673</v>
      </c>
    </row>
    <row r="22">
      <c r="A22" s="15" t="s">
        <v>72</v>
      </c>
      <c r="B22" s="48">
        <f>VLOOKUP(A22, '% Change in Median Hourly Wages'!A:E, 5, FALSE) -VLOOKUP(A22, '% Change in Avg Hourly Wages'!A:M, 13, FALSE)</f>
        <v>-1.488547287</v>
      </c>
      <c r="C22" s="48">
        <v>9.106529209621993</v>
      </c>
    </row>
    <row r="23">
      <c r="A23" s="15" t="s">
        <v>62</v>
      </c>
      <c r="B23" s="48">
        <f>VLOOKUP(A23, '% Change in Median Hourly Wages'!A:E, 5, FALSE) -VLOOKUP(A23, '% Change in Avg Hourly Wages'!A:M, 13, FALSE)</f>
        <v>-1.192998561</v>
      </c>
      <c r="C23" s="48">
        <v>-6.969696969696971</v>
      </c>
    </row>
    <row r="24">
      <c r="A24" s="15" t="s">
        <v>127</v>
      </c>
      <c r="B24" s="48">
        <f>VLOOKUP(A24, '% Change in Median Hourly Wages'!A:E, 5, FALSE) -VLOOKUP(A24, '% Change in Avg Hourly Wages'!A:M, 13, FALSE)</f>
        <v>-0.7608778369</v>
      </c>
      <c r="C24" s="48">
        <v>9.436687530091477</v>
      </c>
    </row>
    <row r="25">
      <c r="A25" s="15" t="s">
        <v>44</v>
      </c>
      <c r="B25" s="48">
        <f>VLOOKUP(A25, '% Change in Median Hourly Wages'!A:E, 5, FALSE) -VLOOKUP(A25, '% Change in Avg Hourly Wages'!A:M, 13, FALSE)</f>
        <v>-0.7341772152</v>
      </c>
      <c r="C25" s="48">
        <v>15.432098765432098</v>
      </c>
    </row>
    <row r="26">
      <c r="A26" s="15" t="s">
        <v>139</v>
      </c>
      <c r="B26" s="48">
        <f>VLOOKUP(A26, '% Change in Median Hourly Wages'!A:E, 5, FALSE) -VLOOKUP(A26, '% Change in Avg Hourly Wages'!A:M, 13, FALSE)</f>
        <v>-0.5588552454</v>
      </c>
      <c r="C26" s="48">
        <v>20.50561797752809</v>
      </c>
    </row>
    <row r="27">
      <c r="A27" s="15" t="s">
        <v>121</v>
      </c>
      <c r="B27" s="48">
        <f>VLOOKUP(A27, '% Change in Median Hourly Wages'!A:E, 5, FALSE) -VLOOKUP(A27, '% Change in Avg Hourly Wages'!A:M, 13, FALSE)</f>
        <v>-0.5441893449</v>
      </c>
      <c r="C27" s="48">
        <v>6.681715575620767</v>
      </c>
    </row>
    <row r="28">
      <c r="A28" s="15" t="s">
        <v>119</v>
      </c>
      <c r="B28" s="48">
        <f>VLOOKUP(A28, '% Change in Median Hourly Wages'!A:E, 5, FALSE) -VLOOKUP(A28, '% Change in Avg Hourly Wages'!A:M, 13, FALSE)</f>
        <v>-0.5073330497</v>
      </c>
      <c r="C28" s="48">
        <v>17.72853185595568</v>
      </c>
    </row>
    <row r="29">
      <c r="A29" s="15" t="s">
        <v>120</v>
      </c>
      <c r="B29" s="48">
        <f>VLOOKUP(A29, '% Change in Median Hourly Wages'!A:E, 5, FALSE) -VLOOKUP(A29, '% Change in Avg Hourly Wages'!A:M, 13, FALSE)</f>
        <v>-0.4039794573</v>
      </c>
      <c r="C29" s="48">
        <v>8.77018985548314</v>
      </c>
    </row>
    <row r="30">
      <c r="A30" s="15" t="s">
        <v>74</v>
      </c>
      <c r="B30" s="48">
        <f>VLOOKUP(A30, '% Change in Median Hourly Wages'!A:E, 5, FALSE) -VLOOKUP(A30, '% Change in Avg Hourly Wages'!A:M, 13, FALSE)</f>
        <v>-0.2411302039</v>
      </c>
      <c r="C30" s="48">
        <v>14.656964656964657</v>
      </c>
    </row>
    <row r="31">
      <c r="A31" s="15" t="s">
        <v>66</v>
      </c>
      <c r="B31" s="48">
        <f>VLOOKUP(A31, '% Change in Median Hourly Wages'!A:E, 5, FALSE) -VLOOKUP(A31, '% Change in Avg Hourly Wages'!A:M, 13, FALSE)</f>
        <v>-0.0458682034</v>
      </c>
      <c r="C31" s="48">
        <v>5.619004111466423</v>
      </c>
    </row>
    <row r="32">
      <c r="A32" s="15" t="s">
        <v>60</v>
      </c>
      <c r="B32" s="48">
        <f>VLOOKUP(A32, '% Change in Median Hourly Wages'!A:E, 5, FALSE) -VLOOKUP(A32, '% Change in Avg Hourly Wages'!A:M, 13, FALSE)</f>
        <v>-0.00463180837</v>
      </c>
      <c r="C32" s="48">
        <v>3.046168491194669</v>
      </c>
    </row>
    <row r="33">
      <c r="A33" s="15" t="s">
        <v>141</v>
      </c>
      <c r="B33" s="48">
        <f>VLOOKUP(A33, '% Change in Median Hourly Wages'!A:E, 5, FALSE) -VLOOKUP(A33, '% Change in Avg Hourly Wages'!A:M, 13, FALSE)</f>
        <v>0.1112827917</v>
      </c>
      <c r="C33" s="48">
        <v>23.043852106620808</v>
      </c>
    </row>
    <row r="34">
      <c r="A34" s="15" t="s">
        <v>107</v>
      </c>
      <c r="B34" s="48">
        <f>VLOOKUP(A34, '% Change in Median Hourly Wages'!A:E, 5, FALSE) -VLOOKUP(A34, '% Change in Avg Hourly Wages'!A:M, 13, FALSE)</f>
        <v>0.1238491448</v>
      </c>
      <c r="C34" s="48">
        <v>-1.3277600196705188</v>
      </c>
    </row>
    <row r="35">
      <c r="A35" s="15" t="s">
        <v>117</v>
      </c>
      <c r="B35" s="48">
        <f>VLOOKUP(A35, '% Change in Median Hourly Wages'!A:E, 5, FALSE) -VLOOKUP(A35, '% Change in Avg Hourly Wages'!A:M, 13, FALSE)</f>
        <v>0.2008020164</v>
      </c>
      <c r="C35" s="48">
        <v>-0.7558139534883721</v>
      </c>
    </row>
    <row r="36">
      <c r="A36" s="15" t="s">
        <v>88</v>
      </c>
      <c r="B36" s="48">
        <f>VLOOKUP(A36, '% Change in Median Hourly Wages'!A:E, 5, FALSE) -VLOOKUP(A36, '% Change in Avg Hourly Wages'!A:M, 13, FALSE)</f>
        <v>2.117275922</v>
      </c>
      <c r="C36" s="48">
        <v>31.150793650793652</v>
      </c>
    </row>
    <row r="37">
      <c r="A37" s="15" t="s">
        <v>42</v>
      </c>
      <c r="B37" s="48">
        <f>VLOOKUP(A37, '% Change in Median Hourly Wages'!A:E, 5, FALSE) -VLOOKUP(A37, '% Change in Avg Hourly Wages'!A:M, 13, FALSE)</f>
        <v>2.623968726</v>
      </c>
      <c r="C37" s="48">
        <v>6.341463414634147</v>
      </c>
    </row>
    <row r="38">
      <c r="A38" s="15" t="s">
        <v>78</v>
      </c>
      <c r="B38" s="48">
        <f>VLOOKUP(A38, '% Change in Median Hourly Wages'!A:E, 5, FALSE) -VLOOKUP(A38, '% Change in Avg Hourly Wages'!A:M, 13, FALSE)</f>
        <v>2.651240516</v>
      </c>
      <c r="C38" s="48">
        <v>11.834319526627219</v>
      </c>
    </row>
    <row r="39">
      <c r="A39" s="15" t="s">
        <v>102</v>
      </c>
      <c r="B39" s="48">
        <f>VLOOKUP(A39, '% Change in Median Hourly Wages'!A:E, 5, FALSE) -VLOOKUP(A39, '% Change in Avg Hourly Wages'!A:M, 13, FALSE)</f>
        <v>2.815840045</v>
      </c>
      <c r="C39" s="48">
        <v>-5.7839721254355405</v>
      </c>
    </row>
    <row r="40">
      <c r="A40" s="15" t="s">
        <v>104</v>
      </c>
      <c r="B40" s="48">
        <f>VLOOKUP(A40, '% Change in Median Hourly Wages'!A:E, 5, FALSE) -VLOOKUP(A40, '% Change in Avg Hourly Wages'!A:M, 13, FALSE)</f>
        <v>3.035604533</v>
      </c>
      <c r="C40" s="48">
        <v>-0.7905138339920948</v>
      </c>
    </row>
    <row r="41">
      <c r="A41" s="15" t="s">
        <v>58</v>
      </c>
      <c r="B41" s="48">
        <f>VLOOKUP(A41, '% Change in Median Hourly Wages'!A:E, 5, FALSE) -VLOOKUP(A41, '% Change in Avg Hourly Wages'!A:M, 13, FALSE)</f>
        <v>4.10350044</v>
      </c>
      <c r="C41" s="48">
        <v>6.446776611694154</v>
      </c>
    </row>
    <row r="42">
      <c r="A42" s="15" t="s">
        <v>114</v>
      </c>
      <c r="B42" s="48">
        <f>VLOOKUP(A42, '% Change in Median Hourly Wages'!A:E, 5, FALSE) -VLOOKUP(A42, '% Change in Avg Hourly Wages'!A:M, 13, FALSE)</f>
        <v>4.132807201</v>
      </c>
      <c r="C42" s="48">
        <v>2.9787234042553195</v>
      </c>
    </row>
    <row r="43">
      <c r="A43" s="15" t="s">
        <v>111</v>
      </c>
      <c r="B43" s="48">
        <f>VLOOKUP(A43, '% Change in Median Hourly Wages'!A:E, 5, FALSE) -VLOOKUP(A43, '% Change in Avg Hourly Wages'!A:M, 13, FALSE)</f>
        <v>5.502491319</v>
      </c>
      <c r="C43" s="48">
        <v>-1.187214611872146</v>
      </c>
    </row>
    <row r="44">
      <c r="A44" s="15" t="s">
        <v>112</v>
      </c>
      <c r="B44" s="48">
        <f>VLOOKUP(A44, '% Change in Median Hourly Wages'!A:E, 5, FALSE) -VLOOKUP(A44, '% Change in Avg Hourly Wages'!A:M, 13, FALSE)</f>
        <v>6.398805628</v>
      </c>
      <c r="C44" s="48">
        <v>9.426229508196721</v>
      </c>
    </row>
    <row r="45">
      <c r="A45" s="15" t="s">
        <v>64</v>
      </c>
      <c r="B45" s="48">
        <f>VLOOKUP(A45, '% Change in Median Hourly Wages'!A:E, 5, FALSE) -VLOOKUP(A45, '% Change in Avg Hourly Wages'!A:M, 13, FALSE)</f>
        <v>7.194774458</v>
      </c>
      <c r="C45" s="48">
        <v>12.673267326732674</v>
      </c>
    </row>
    <row r="46">
      <c r="A46" s="15" t="s">
        <v>80</v>
      </c>
      <c r="B46" s="48">
        <f>VLOOKUP(A46, '% Change in Median Hourly Wages'!A:E, 5, FALSE) -VLOOKUP(A46, '% Change in Avg Hourly Wages'!A:M, 13, FALSE)</f>
        <v>7.389341583</v>
      </c>
      <c r="C46" s="48">
        <v>5.877803557617943</v>
      </c>
    </row>
    <row r="47">
      <c r="A47" s="15" t="s">
        <v>105</v>
      </c>
      <c r="B47" s="48">
        <f>VLOOKUP(A47, '% Change in Median Hourly Wages'!A:E, 5, FALSE) -VLOOKUP(A47, '% Change in Avg Hourly Wages'!A:M, 13, FALSE)</f>
        <v>8.013626846</v>
      </c>
      <c r="C47" s="48">
        <v>24.894514767932492</v>
      </c>
    </row>
    <row r="48">
      <c r="A48" s="15" t="s">
        <v>92</v>
      </c>
      <c r="B48" s="48">
        <f>VLOOKUP(A48, '% Change in Median Hourly Wages'!A:E, 5, FALSE) -VLOOKUP(A48, '% Change in Avg Hourly Wages'!A:M, 13, FALSE)</f>
        <v>8.078247872</v>
      </c>
      <c r="C48" s="48">
        <v>-4.844290657439446</v>
      </c>
    </row>
    <row r="49">
      <c r="A49" s="15" t="s">
        <v>84</v>
      </c>
      <c r="B49" s="48">
        <f>VLOOKUP(A49, '% Change in Median Hourly Wages'!A:E, 5, FALSE) -VLOOKUP(A49, '% Change in Avg Hourly Wages'!A:M, 13, FALSE)</f>
        <v>9.009574463</v>
      </c>
      <c r="C49" s="48">
        <v>-2.929042904290429</v>
      </c>
    </row>
    <row r="50">
      <c r="A50" s="15" t="s">
        <v>108</v>
      </c>
      <c r="B50" s="48">
        <f>VLOOKUP(A50, '% Change in Median Hourly Wages'!A:E, 5, FALSE) -VLOOKUP(A50, '% Change in Avg Hourly Wages'!A:M, 13, FALSE)</f>
        <v>9.480354629</v>
      </c>
      <c r="C50" s="48">
        <v>2.975557917109458</v>
      </c>
    </row>
    <row r="51">
      <c r="A51" s="15" t="s">
        <v>96</v>
      </c>
      <c r="B51" s="48">
        <f>VLOOKUP(A51, '% Change in Median Hourly Wages'!A:E, 5, FALSE) -VLOOKUP(A51, '% Change in Avg Hourly Wages'!A:M, 13, FALSE)</f>
        <v>11.36879632</v>
      </c>
      <c r="C51" s="48">
        <v>-0.23894862604540024</v>
      </c>
    </row>
    <row r="52">
      <c r="B52" s="24"/>
      <c r="C52" s="24"/>
    </row>
    <row r="53">
      <c r="B53" s="24"/>
      <c r="C53" s="24"/>
    </row>
    <row r="54">
      <c r="B54" s="24"/>
      <c r="C54" s="24"/>
    </row>
    <row r="55">
      <c r="B55" s="24"/>
      <c r="C55" s="24"/>
    </row>
    <row r="56">
      <c r="B56" s="24"/>
      <c r="C56" s="24"/>
    </row>
    <row r="57">
      <c r="B57" s="24"/>
      <c r="C57" s="24"/>
    </row>
    <row r="58">
      <c r="B58" s="24"/>
      <c r="C58" s="24"/>
    </row>
    <row r="59">
      <c r="B59" s="24"/>
      <c r="C59" s="24"/>
    </row>
    <row r="60">
      <c r="B60" s="24"/>
      <c r="C60" s="24"/>
    </row>
    <row r="61">
      <c r="B61" s="24"/>
      <c r="C61" s="24"/>
    </row>
    <row r="62">
      <c r="B62" s="24"/>
      <c r="C62" s="24"/>
    </row>
    <row r="63">
      <c r="B63" s="24"/>
      <c r="C63" s="24"/>
    </row>
    <row r="64">
      <c r="B64" s="24"/>
      <c r="C64" s="24"/>
    </row>
    <row r="65">
      <c r="B65" s="24"/>
      <c r="C65" s="24"/>
    </row>
    <row r="66">
      <c r="B66" s="24"/>
      <c r="C66" s="24"/>
    </row>
    <row r="67">
      <c r="B67" s="24"/>
      <c r="C67" s="24"/>
    </row>
    <row r="68">
      <c r="B68" s="24"/>
      <c r="C68" s="24"/>
    </row>
    <row r="69">
      <c r="B69" s="24"/>
      <c r="C69" s="24"/>
    </row>
    <row r="70">
      <c r="B70" s="24"/>
      <c r="C70" s="24"/>
    </row>
    <row r="71">
      <c r="B71" s="24"/>
      <c r="C71" s="24"/>
    </row>
    <row r="72">
      <c r="B72" s="24"/>
      <c r="C72" s="24"/>
    </row>
    <row r="73">
      <c r="B73" s="24"/>
      <c r="C73" s="24"/>
    </row>
    <row r="74">
      <c r="B74" s="24"/>
      <c r="C74" s="24"/>
    </row>
    <row r="75">
      <c r="B75" s="24"/>
      <c r="C75" s="24"/>
    </row>
    <row r="76">
      <c r="B76" s="24"/>
      <c r="C76" s="24"/>
    </row>
    <row r="77">
      <c r="B77" s="24"/>
      <c r="C77" s="24"/>
    </row>
    <row r="78">
      <c r="B78" s="24"/>
      <c r="C78" s="24"/>
    </row>
    <row r="79">
      <c r="B79" s="24"/>
      <c r="C79" s="24"/>
    </row>
    <row r="80">
      <c r="B80" s="24"/>
      <c r="C80" s="24"/>
    </row>
    <row r="81">
      <c r="B81" s="24"/>
      <c r="C81" s="24"/>
    </row>
    <row r="82">
      <c r="B82" s="24"/>
      <c r="C82" s="24"/>
    </row>
    <row r="83">
      <c r="B83" s="24"/>
      <c r="C83" s="24"/>
    </row>
    <row r="84">
      <c r="B84" s="24"/>
      <c r="C84" s="24"/>
    </row>
    <row r="85">
      <c r="B85" s="24"/>
      <c r="C85" s="24"/>
    </row>
    <row r="86">
      <c r="B86" s="24"/>
      <c r="C86" s="24"/>
    </row>
    <row r="87">
      <c r="B87" s="24"/>
      <c r="C87" s="24"/>
    </row>
    <row r="88">
      <c r="B88" s="24"/>
      <c r="C88" s="24"/>
    </row>
    <row r="89">
      <c r="B89" s="24"/>
      <c r="C89" s="24"/>
    </row>
    <row r="90">
      <c r="B90" s="24"/>
      <c r="C90" s="24"/>
    </row>
    <row r="91">
      <c r="B91" s="24"/>
      <c r="C91" s="24"/>
    </row>
    <row r="92">
      <c r="B92" s="24"/>
      <c r="C92" s="24"/>
    </row>
    <row r="93">
      <c r="B93" s="24"/>
      <c r="C93" s="24"/>
    </row>
    <row r="94">
      <c r="B94" s="24"/>
      <c r="C94" s="24"/>
    </row>
    <row r="95">
      <c r="B95" s="24"/>
      <c r="C95" s="24"/>
    </row>
    <row r="96">
      <c r="B96" s="24"/>
      <c r="C96" s="24"/>
    </row>
    <row r="97">
      <c r="B97" s="24"/>
      <c r="C97" s="24"/>
    </row>
    <row r="98">
      <c r="B98" s="24"/>
      <c r="C98" s="24"/>
    </row>
    <row r="99">
      <c r="B99" s="24"/>
      <c r="C99" s="24"/>
    </row>
    <row r="100">
      <c r="B100" s="24"/>
      <c r="C100" s="24"/>
    </row>
    <row r="101">
      <c r="B101" s="24"/>
      <c r="C101" s="24"/>
    </row>
    <row r="102">
      <c r="B102" s="24"/>
      <c r="C102" s="24"/>
    </row>
    <row r="103">
      <c r="B103" s="24"/>
      <c r="C103" s="24"/>
    </row>
    <row r="104">
      <c r="B104" s="24"/>
      <c r="C104" s="24"/>
    </row>
    <row r="105">
      <c r="B105" s="24"/>
      <c r="C105" s="24"/>
    </row>
    <row r="106">
      <c r="B106" s="24"/>
      <c r="C106" s="24"/>
    </row>
    <row r="107">
      <c r="B107" s="24"/>
      <c r="C107" s="24"/>
    </row>
    <row r="108">
      <c r="B108" s="24"/>
      <c r="C108" s="24"/>
    </row>
    <row r="109">
      <c r="B109" s="24"/>
      <c r="C109" s="24"/>
    </row>
    <row r="110">
      <c r="B110" s="24"/>
      <c r="C110" s="24"/>
    </row>
    <row r="111">
      <c r="B111" s="24"/>
      <c r="C111" s="24"/>
    </row>
    <row r="112">
      <c r="B112" s="24"/>
      <c r="C112" s="24"/>
    </row>
    <row r="113">
      <c r="B113" s="24"/>
      <c r="C113" s="24"/>
    </row>
    <row r="114">
      <c r="B114" s="24"/>
      <c r="C114" s="24"/>
    </row>
    <row r="115">
      <c r="B115" s="24"/>
      <c r="C115" s="24"/>
    </row>
    <row r="116">
      <c r="B116" s="24"/>
      <c r="C116" s="24"/>
    </row>
    <row r="117">
      <c r="B117" s="24"/>
      <c r="C117" s="24"/>
    </row>
    <row r="118">
      <c r="B118" s="24"/>
      <c r="C118" s="24"/>
    </row>
    <row r="119">
      <c r="B119" s="24"/>
      <c r="C119" s="24"/>
    </row>
    <row r="120">
      <c r="B120" s="24"/>
      <c r="C120" s="24"/>
    </row>
    <row r="121">
      <c r="B121" s="24"/>
      <c r="C121" s="24"/>
    </row>
    <row r="122">
      <c r="B122" s="24"/>
      <c r="C122" s="24"/>
    </row>
    <row r="123">
      <c r="B123" s="24"/>
      <c r="C123" s="24"/>
    </row>
    <row r="124">
      <c r="B124" s="24"/>
      <c r="C124" s="24"/>
    </row>
    <row r="125">
      <c r="B125" s="24"/>
      <c r="C125" s="24"/>
    </row>
    <row r="126">
      <c r="B126" s="24"/>
      <c r="C126" s="24"/>
    </row>
    <row r="127">
      <c r="B127" s="24"/>
      <c r="C127" s="24"/>
    </row>
    <row r="128">
      <c r="B128" s="24"/>
      <c r="C128" s="24"/>
    </row>
    <row r="129">
      <c r="B129" s="24"/>
      <c r="C129" s="24"/>
    </row>
    <row r="130">
      <c r="B130" s="24"/>
      <c r="C130" s="24"/>
    </row>
    <row r="131">
      <c r="B131" s="24"/>
      <c r="C131" s="24"/>
    </row>
    <row r="132">
      <c r="B132" s="24"/>
      <c r="C132" s="24"/>
    </row>
    <row r="133">
      <c r="B133" s="24"/>
      <c r="C133" s="24"/>
    </row>
    <row r="134">
      <c r="B134" s="24"/>
      <c r="C134" s="24"/>
    </row>
    <row r="135">
      <c r="B135" s="24"/>
      <c r="C135" s="24"/>
    </row>
    <row r="136">
      <c r="B136" s="24"/>
      <c r="C136" s="24"/>
    </row>
    <row r="137">
      <c r="B137" s="24"/>
      <c r="C137" s="24"/>
    </row>
    <row r="138">
      <c r="B138" s="24"/>
      <c r="C138" s="24"/>
    </row>
    <row r="139">
      <c r="B139" s="24"/>
      <c r="C139" s="24"/>
    </row>
    <row r="140">
      <c r="B140" s="24"/>
      <c r="C140" s="24"/>
    </row>
    <row r="141">
      <c r="B141" s="24"/>
      <c r="C141" s="24"/>
    </row>
    <row r="142">
      <c r="B142" s="24"/>
      <c r="C142" s="24"/>
    </row>
    <row r="143">
      <c r="B143" s="24"/>
      <c r="C143" s="24"/>
    </row>
    <row r="144">
      <c r="B144" s="24"/>
      <c r="C144" s="24"/>
    </row>
    <row r="145">
      <c r="B145" s="24"/>
      <c r="C145" s="24"/>
    </row>
    <row r="146">
      <c r="B146" s="24"/>
      <c r="C146" s="24"/>
    </row>
    <row r="147">
      <c r="B147" s="24"/>
      <c r="C147" s="24"/>
    </row>
    <row r="148">
      <c r="B148" s="24"/>
      <c r="C148" s="24"/>
    </row>
    <row r="149">
      <c r="B149" s="24"/>
      <c r="C149" s="24"/>
    </row>
    <row r="150">
      <c r="B150" s="24"/>
      <c r="C150" s="24"/>
    </row>
    <row r="151">
      <c r="B151" s="24"/>
      <c r="C151" s="24"/>
    </row>
    <row r="152">
      <c r="B152" s="24"/>
      <c r="C152" s="24"/>
    </row>
    <row r="153">
      <c r="B153" s="24"/>
      <c r="C153" s="24"/>
    </row>
    <row r="154">
      <c r="B154" s="24"/>
      <c r="C154" s="24"/>
    </row>
    <row r="155">
      <c r="B155" s="24"/>
      <c r="C155" s="24"/>
    </row>
    <row r="156">
      <c r="B156" s="24"/>
      <c r="C156" s="24"/>
    </row>
    <row r="157">
      <c r="B157" s="24"/>
      <c r="C157" s="24"/>
    </row>
    <row r="158">
      <c r="B158" s="24"/>
      <c r="C158" s="24"/>
    </row>
    <row r="159">
      <c r="B159" s="24"/>
      <c r="C159" s="24"/>
    </row>
    <row r="160">
      <c r="B160" s="24"/>
      <c r="C160" s="24"/>
    </row>
    <row r="161">
      <c r="B161" s="24"/>
      <c r="C161" s="24"/>
    </row>
    <row r="162">
      <c r="B162" s="24"/>
      <c r="C162" s="24"/>
    </row>
    <row r="163">
      <c r="B163" s="24"/>
      <c r="C163" s="24"/>
    </row>
    <row r="164">
      <c r="B164" s="24"/>
      <c r="C164" s="24"/>
    </row>
    <row r="165">
      <c r="B165" s="24"/>
      <c r="C165" s="24"/>
    </row>
    <row r="166">
      <c r="B166" s="24"/>
      <c r="C166" s="24"/>
    </row>
    <row r="167">
      <c r="B167" s="24"/>
      <c r="C167" s="24"/>
    </row>
    <row r="168">
      <c r="B168" s="24"/>
      <c r="C168" s="24"/>
    </row>
    <row r="169">
      <c r="B169" s="24"/>
      <c r="C169" s="24"/>
    </row>
    <row r="170">
      <c r="B170" s="24"/>
      <c r="C170" s="24"/>
    </row>
    <row r="171">
      <c r="B171" s="24"/>
      <c r="C171" s="24"/>
    </row>
    <row r="172">
      <c r="B172" s="24"/>
      <c r="C172" s="24"/>
    </row>
    <row r="173">
      <c r="B173" s="24"/>
      <c r="C173" s="24"/>
    </row>
    <row r="174">
      <c r="B174" s="24"/>
      <c r="C174" s="24"/>
    </row>
    <row r="175">
      <c r="B175" s="24"/>
      <c r="C175" s="24"/>
    </row>
    <row r="176">
      <c r="B176" s="24"/>
      <c r="C176" s="24"/>
    </row>
    <row r="177">
      <c r="B177" s="24"/>
      <c r="C177" s="24"/>
    </row>
    <row r="178">
      <c r="B178" s="24"/>
      <c r="C178" s="24"/>
    </row>
    <row r="179">
      <c r="B179" s="24"/>
      <c r="C179" s="24"/>
    </row>
    <row r="180">
      <c r="B180" s="24"/>
      <c r="C180" s="24"/>
    </row>
    <row r="181">
      <c r="B181" s="24"/>
      <c r="C181" s="24"/>
    </row>
    <row r="182">
      <c r="B182" s="24"/>
      <c r="C182" s="24"/>
    </row>
    <row r="183">
      <c r="B183" s="24"/>
      <c r="C183" s="24"/>
    </row>
    <row r="184">
      <c r="B184" s="24"/>
      <c r="C184" s="24"/>
    </row>
    <row r="185">
      <c r="B185" s="24"/>
      <c r="C185" s="24"/>
    </row>
    <row r="186">
      <c r="B186" s="24"/>
      <c r="C186" s="24"/>
    </row>
    <row r="187">
      <c r="B187" s="24"/>
      <c r="C187" s="24"/>
    </row>
    <row r="188">
      <c r="B188" s="24"/>
      <c r="C188" s="24"/>
    </row>
    <row r="189">
      <c r="B189" s="24"/>
      <c r="C189" s="24"/>
    </row>
    <row r="190">
      <c r="B190" s="24"/>
      <c r="C190" s="24"/>
    </row>
    <row r="191">
      <c r="B191" s="24"/>
      <c r="C191" s="24"/>
    </row>
    <row r="192">
      <c r="B192" s="24"/>
      <c r="C192" s="24"/>
    </row>
    <row r="193">
      <c r="B193" s="24"/>
      <c r="C193" s="24"/>
    </row>
    <row r="194">
      <c r="B194" s="24"/>
      <c r="C194" s="24"/>
    </row>
    <row r="195">
      <c r="B195" s="24"/>
      <c r="C195" s="24"/>
    </row>
    <row r="196">
      <c r="B196" s="24"/>
      <c r="C196" s="24"/>
    </row>
    <row r="197">
      <c r="B197" s="24"/>
      <c r="C197" s="24"/>
    </row>
    <row r="198">
      <c r="B198" s="24"/>
      <c r="C198" s="24"/>
    </row>
    <row r="199">
      <c r="B199" s="24"/>
      <c r="C199" s="24"/>
    </row>
    <row r="200">
      <c r="B200" s="24"/>
      <c r="C200" s="24"/>
    </row>
    <row r="201">
      <c r="B201" s="24"/>
      <c r="C201" s="24"/>
    </row>
    <row r="202">
      <c r="B202" s="24"/>
      <c r="C202" s="24"/>
    </row>
    <row r="203">
      <c r="B203" s="24"/>
      <c r="C203" s="24"/>
    </row>
    <row r="204">
      <c r="B204" s="24"/>
      <c r="C204" s="24"/>
    </row>
    <row r="205">
      <c r="B205" s="24"/>
      <c r="C205" s="24"/>
    </row>
    <row r="206">
      <c r="B206" s="24"/>
      <c r="C206" s="24"/>
    </row>
    <row r="207">
      <c r="B207" s="24"/>
      <c r="C207" s="24"/>
    </row>
    <row r="208">
      <c r="B208" s="24"/>
      <c r="C208" s="24"/>
    </row>
    <row r="209">
      <c r="B209" s="24"/>
      <c r="C209" s="24"/>
    </row>
    <row r="210">
      <c r="B210" s="24"/>
      <c r="C210" s="24"/>
    </row>
    <row r="211">
      <c r="B211" s="24"/>
      <c r="C211" s="24"/>
    </row>
    <row r="212">
      <c r="B212" s="24"/>
      <c r="C212" s="24"/>
    </row>
    <row r="213">
      <c r="B213" s="24"/>
      <c r="C213" s="24"/>
    </row>
    <row r="214">
      <c r="B214" s="24"/>
      <c r="C214" s="24"/>
    </row>
    <row r="215">
      <c r="B215" s="24"/>
      <c r="C215" s="24"/>
    </row>
    <row r="216">
      <c r="B216" s="24"/>
      <c r="C216" s="24"/>
    </row>
    <row r="217">
      <c r="B217" s="24"/>
      <c r="C217" s="24"/>
    </row>
    <row r="218">
      <c r="B218" s="24"/>
      <c r="C218" s="24"/>
    </row>
    <row r="219">
      <c r="B219" s="24"/>
      <c r="C219" s="24"/>
    </row>
    <row r="220">
      <c r="B220" s="24"/>
      <c r="C220" s="24"/>
    </row>
    <row r="221">
      <c r="B221" s="24"/>
      <c r="C221" s="24"/>
    </row>
    <row r="222">
      <c r="B222" s="24"/>
      <c r="C222" s="24"/>
    </row>
    <row r="223">
      <c r="B223" s="24"/>
      <c r="C223" s="24"/>
    </row>
    <row r="224">
      <c r="B224" s="24"/>
      <c r="C224" s="24"/>
    </row>
    <row r="225">
      <c r="B225" s="24"/>
      <c r="C225" s="24"/>
    </row>
    <row r="226">
      <c r="B226" s="24"/>
      <c r="C226" s="24"/>
    </row>
    <row r="227">
      <c r="B227" s="24"/>
      <c r="C227" s="24"/>
    </row>
    <row r="228">
      <c r="B228" s="24"/>
      <c r="C228" s="24"/>
    </row>
    <row r="229">
      <c r="B229" s="24"/>
      <c r="C229" s="24"/>
    </row>
    <row r="230">
      <c r="B230" s="24"/>
      <c r="C230" s="24"/>
    </row>
    <row r="231">
      <c r="B231" s="24"/>
      <c r="C231" s="24"/>
    </row>
    <row r="232">
      <c r="B232" s="24"/>
      <c r="C232" s="24"/>
    </row>
    <row r="233">
      <c r="B233" s="24"/>
      <c r="C233" s="24"/>
    </row>
    <row r="234">
      <c r="B234" s="24"/>
      <c r="C234" s="24"/>
    </row>
    <row r="235">
      <c r="B235" s="24"/>
      <c r="C235" s="24"/>
    </row>
    <row r="236">
      <c r="B236" s="24"/>
      <c r="C236" s="24"/>
    </row>
    <row r="237">
      <c r="B237" s="24"/>
      <c r="C237" s="24"/>
    </row>
    <row r="238">
      <c r="B238" s="24"/>
      <c r="C238" s="24"/>
    </row>
    <row r="239">
      <c r="B239" s="24"/>
      <c r="C239" s="24"/>
    </row>
    <row r="240">
      <c r="B240" s="24"/>
      <c r="C240" s="24"/>
    </row>
    <row r="241">
      <c r="B241" s="24"/>
      <c r="C241" s="24"/>
    </row>
    <row r="242">
      <c r="B242" s="24"/>
      <c r="C242" s="24"/>
    </row>
    <row r="243">
      <c r="B243" s="24"/>
      <c r="C243" s="24"/>
    </row>
    <row r="244">
      <c r="B244" s="24"/>
      <c r="C244" s="24"/>
    </row>
    <row r="245">
      <c r="B245" s="24"/>
      <c r="C245" s="24"/>
    </row>
    <row r="246">
      <c r="B246" s="24"/>
      <c r="C246" s="24"/>
    </row>
    <row r="247">
      <c r="B247" s="24"/>
      <c r="C247" s="24"/>
    </row>
    <row r="248">
      <c r="B248" s="24"/>
      <c r="C248" s="24"/>
    </row>
    <row r="249">
      <c r="B249" s="24"/>
      <c r="C249" s="24"/>
    </row>
    <row r="250">
      <c r="B250" s="24"/>
      <c r="C250" s="24"/>
    </row>
    <row r="251">
      <c r="B251" s="24"/>
      <c r="C251" s="24"/>
    </row>
    <row r="252">
      <c r="B252" s="24"/>
      <c r="C252" s="24"/>
    </row>
    <row r="253">
      <c r="B253" s="24"/>
      <c r="C253" s="24"/>
    </row>
    <row r="254">
      <c r="B254" s="24"/>
      <c r="C254" s="24"/>
    </row>
    <row r="255">
      <c r="B255" s="24"/>
      <c r="C255" s="24"/>
    </row>
    <row r="256">
      <c r="B256" s="24"/>
      <c r="C256" s="24"/>
    </row>
    <row r="257">
      <c r="B257" s="24"/>
      <c r="C257" s="24"/>
    </row>
    <row r="258">
      <c r="B258" s="24"/>
      <c r="C258" s="24"/>
    </row>
    <row r="259">
      <c r="B259" s="24"/>
      <c r="C259" s="24"/>
    </row>
    <row r="260">
      <c r="B260" s="24"/>
      <c r="C260" s="24"/>
    </row>
    <row r="261">
      <c r="B261" s="24"/>
      <c r="C261" s="24"/>
    </row>
    <row r="262">
      <c r="B262" s="24"/>
      <c r="C262" s="24"/>
    </row>
    <row r="263">
      <c r="B263" s="24"/>
      <c r="C263" s="24"/>
    </row>
    <row r="264">
      <c r="B264" s="24"/>
      <c r="C264" s="24"/>
    </row>
    <row r="265">
      <c r="B265" s="24"/>
      <c r="C265" s="24"/>
    </row>
    <row r="266">
      <c r="B266" s="24"/>
      <c r="C266" s="24"/>
    </row>
    <row r="267">
      <c r="B267" s="24"/>
      <c r="C267" s="24"/>
    </row>
    <row r="268">
      <c r="B268" s="24"/>
      <c r="C268" s="24"/>
    </row>
    <row r="269">
      <c r="B269" s="24"/>
      <c r="C269" s="24"/>
    </row>
    <row r="270">
      <c r="B270" s="24"/>
      <c r="C270" s="24"/>
    </row>
    <row r="271">
      <c r="B271" s="24"/>
      <c r="C271" s="24"/>
    </row>
    <row r="272">
      <c r="B272" s="24"/>
      <c r="C272" s="24"/>
    </row>
    <row r="273">
      <c r="B273" s="24"/>
      <c r="C273" s="24"/>
    </row>
    <row r="274">
      <c r="B274" s="24"/>
      <c r="C274" s="24"/>
    </row>
    <row r="275">
      <c r="B275" s="24"/>
      <c r="C275" s="24"/>
    </row>
    <row r="276">
      <c r="B276" s="24"/>
      <c r="C276" s="24"/>
    </row>
    <row r="277">
      <c r="B277" s="24"/>
      <c r="C277" s="24"/>
    </row>
    <row r="278">
      <c r="B278" s="24"/>
      <c r="C278" s="24"/>
    </row>
    <row r="279">
      <c r="B279" s="24"/>
      <c r="C279" s="24"/>
    </row>
    <row r="280">
      <c r="B280" s="24"/>
      <c r="C280" s="24"/>
    </row>
    <row r="281">
      <c r="B281" s="24"/>
      <c r="C281" s="24"/>
    </row>
    <row r="282">
      <c r="B282" s="24"/>
      <c r="C282" s="24"/>
    </row>
    <row r="283">
      <c r="B283" s="24"/>
      <c r="C283" s="24"/>
    </row>
    <row r="284">
      <c r="B284" s="24"/>
      <c r="C284" s="24"/>
    </row>
    <row r="285">
      <c r="B285" s="24"/>
      <c r="C285" s="24"/>
    </row>
    <row r="286">
      <c r="B286" s="24"/>
      <c r="C286" s="24"/>
    </row>
    <row r="287">
      <c r="B287" s="24"/>
      <c r="C287" s="24"/>
    </row>
    <row r="288">
      <c r="B288" s="24"/>
      <c r="C288" s="24"/>
    </row>
    <row r="289">
      <c r="B289" s="24"/>
      <c r="C289" s="24"/>
    </row>
    <row r="290">
      <c r="B290" s="24"/>
      <c r="C290" s="24"/>
    </row>
    <row r="291">
      <c r="B291" s="24"/>
      <c r="C291" s="24"/>
    </row>
    <row r="292">
      <c r="B292" s="24"/>
      <c r="C292" s="24"/>
    </row>
    <row r="293">
      <c r="B293" s="24"/>
      <c r="C293" s="24"/>
    </row>
    <row r="294">
      <c r="B294" s="24"/>
      <c r="C294" s="24"/>
    </row>
    <row r="295">
      <c r="B295" s="24"/>
      <c r="C295" s="24"/>
    </row>
    <row r="296">
      <c r="B296" s="24"/>
      <c r="C296" s="24"/>
    </row>
    <row r="297">
      <c r="B297" s="24"/>
      <c r="C297" s="24"/>
    </row>
    <row r="298">
      <c r="B298" s="24"/>
      <c r="C298" s="24"/>
    </row>
    <row r="299">
      <c r="B299" s="24"/>
      <c r="C299" s="24"/>
    </row>
    <row r="300">
      <c r="B300" s="24"/>
      <c r="C300" s="24"/>
    </row>
    <row r="301">
      <c r="B301" s="24"/>
      <c r="C301" s="24"/>
    </row>
    <row r="302">
      <c r="B302" s="24"/>
      <c r="C302" s="24"/>
    </row>
    <row r="303">
      <c r="B303" s="24"/>
      <c r="C303" s="24"/>
    </row>
    <row r="304">
      <c r="B304" s="24"/>
      <c r="C304" s="24"/>
    </row>
    <row r="305">
      <c r="B305" s="24"/>
      <c r="C305" s="24"/>
    </row>
    <row r="306">
      <c r="B306" s="24"/>
      <c r="C306" s="24"/>
    </row>
    <row r="307">
      <c r="B307" s="24"/>
      <c r="C307" s="24"/>
    </row>
    <row r="308">
      <c r="B308" s="24"/>
      <c r="C308" s="24"/>
    </row>
    <row r="309">
      <c r="B309" s="24"/>
      <c r="C309" s="24"/>
    </row>
    <row r="310">
      <c r="B310" s="24"/>
      <c r="C310" s="24"/>
    </row>
    <row r="311">
      <c r="B311" s="24"/>
      <c r="C311" s="24"/>
    </row>
    <row r="312">
      <c r="B312" s="24"/>
      <c r="C312" s="24"/>
    </row>
    <row r="313">
      <c r="B313" s="24"/>
      <c r="C313" s="24"/>
    </row>
    <row r="314">
      <c r="B314" s="24"/>
      <c r="C314" s="24"/>
    </row>
    <row r="315">
      <c r="B315" s="24"/>
      <c r="C315" s="24"/>
    </row>
    <row r="316">
      <c r="B316" s="24"/>
      <c r="C316" s="24"/>
    </row>
    <row r="317">
      <c r="B317" s="24"/>
      <c r="C317" s="24"/>
    </row>
    <row r="318">
      <c r="B318" s="24"/>
      <c r="C318" s="24"/>
    </row>
    <row r="319">
      <c r="B319" s="24"/>
      <c r="C319" s="24"/>
    </row>
    <row r="320">
      <c r="B320" s="24"/>
      <c r="C320" s="24"/>
    </row>
    <row r="321">
      <c r="B321" s="24"/>
      <c r="C321" s="24"/>
    </row>
    <row r="322">
      <c r="B322" s="24"/>
      <c r="C322" s="24"/>
    </row>
    <row r="323">
      <c r="B323" s="24"/>
      <c r="C323" s="24"/>
    </row>
    <row r="324">
      <c r="B324" s="24"/>
      <c r="C324" s="24"/>
    </row>
    <row r="325">
      <c r="B325" s="24"/>
      <c r="C325" s="24"/>
    </row>
    <row r="326">
      <c r="B326" s="24"/>
      <c r="C326" s="24"/>
    </row>
    <row r="327">
      <c r="B327" s="24"/>
      <c r="C327" s="24"/>
    </row>
    <row r="328">
      <c r="B328" s="24"/>
      <c r="C328" s="24"/>
    </row>
    <row r="329">
      <c r="B329" s="24"/>
      <c r="C329" s="24"/>
    </row>
    <row r="330">
      <c r="B330" s="24"/>
      <c r="C330" s="24"/>
    </row>
    <row r="331">
      <c r="B331" s="24"/>
      <c r="C331" s="24"/>
    </row>
    <row r="332">
      <c r="B332" s="24"/>
      <c r="C332" s="24"/>
    </row>
    <row r="333">
      <c r="B333" s="24"/>
      <c r="C333" s="24"/>
    </row>
    <row r="334">
      <c r="B334" s="24"/>
      <c r="C334" s="24"/>
    </row>
    <row r="335">
      <c r="B335" s="24"/>
      <c r="C335" s="24"/>
    </row>
    <row r="336">
      <c r="B336" s="24"/>
      <c r="C336" s="24"/>
    </row>
    <row r="337">
      <c r="B337" s="24"/>
      <c r="C337" s="24"/>
    </row>
    <row r="338">
      <c r="B338" s="24"/>
      <c r="C338" s="24"/>
    </row>
    <row r="339">
      <c r="B339" s="24"/>
      <c r="C339" s="24"/>
    </row>
    <row r="340">
      <c r="B340" s="24"/>
      <c r="C340" s="24"/>
    </row>
    <row r="341">
      <c r="B341" s="24"/>
      <c r="C341" s="24"/>
    </row>
    <row r="342">
      <c r="B342" s="24"/>
      <c r="C342" s="24"/>
    </row>
    <row r="343">
      <c r="B343" s="24"/>
      <c r="C343" s="24"/>
    </row>
    <row r="344">
      <c r="B344" s="24"/>
      <c r="C344" s="24"/>
    </row>
    <row r="345">
      <c r="B345" s="24"/>
      <c r="C345" s="24"/>
    </row>
    <row r="346">
      <c r="B346" s="24"/>
      <c r="C346" s="24"/>
    </row>
    <row r="347">
      <c r="B347" s="24"/>
      <c r="C347" s="24"/>
    </row>
    <row r="348">
      <c r="B348" s="24"/>
      <c r="C348" s="24"/>
    </row>
    <row r="349">
      <c r="B349" s="24"/>
      <c r="C349" s="24"/>
    </row>
    <row r="350">
      <c r="B350" s="24"/>
      <c r="C350" s="24"/>
    </row>
    <row r="351">
      <c r="B351" s="24"/>
      <c r="C351" s="24"/>
    </row>
    <row r="352">
      <c r="B352" s="24"/>
      <c r="C352" s="24"/>
    </row>
    <row r="353">
      <c r="B353" s="24"/>
      <c r="C353" s="24"/>
    </row>
    <row r="354">
      <c r="B354" s="24"/>
      <c r="C354" s="24"/>
    </row>
    <row r="355">
      <c r="B355" s="24"/>
      <c r="C355" s="24"/>
    </row>
    <row r="356">
      <c r="B356" s="24"/>
      <c r="C356" s="24"/>
    </row>
    <row r="357">
      <c r="B357" s="24"/>
      <c r="C357" s="24"/>
    </row>
    <row r="358">
      <c r="B358" s="24"/>
      <c r="C358" s="24"/>
    </row>
    <row r="359">
      <c r="B359" s="24"/>
      <c r="C359" s="24"/>
    </row>
    <row r="360">
      <c r="B360" s="24"/>
      <c r="C360" s="24"/>
    </row>
    <row r="361">
      <c r="B361" s="24"/>
      <c r="C361" s="24"/>
    </row>
    <row r="362">
      <c r="B362" s="24"/>
      <c r="C362" s="24"/>
    </row>
    <row r="363">
      <c r="B363" s="24"/>
      <c r="C363" s="24"/>
    </row>
    <row r="364">
      <c r="B364" s="24"/>
      <c r="C364" s="24"/>
    </row>
    <row r="365">
      <c r="B365" s="24"/>
      <c r="C365" s="24"/>
    </row>
    <row r="366">
      <c r="B366" s="24"/>
      <c r="C366" s="24"/>
    </row>
    <row r="367">
      <c r="B367" s="24"/>
      <c r="C367" s="24"/>
    </row>
    <row r="368">
      <c r="B368" s="24"/>
      <c r="C368" s="24"/>
    </row>
    <row r="369">
      <c r="B369" s="24"/>
      <c r="C369" s="24"/>
    </row>
    <row r="370">
      <c r="B370" s="24"/>
      <c r="C370" s="24"/>
    </row>
    <row r="371">
      <c r="B371" s="24"/>
      <c r="C371" s="24"/>
    </row>
    <row r="372">
      <c r="B372" s="24"/>
      <c r="C372" s="24"/>
    </row>
    <row r="373">
      <c r="B373" s="24"/>
      <c r="C373" s="24"/>
    </row>
    <row r="374">
      <c r="B374" s="24"/>
      <c r="C374" s="24"/>
    </row>
    <row r="375">
      <c r="B375" s="24"/>
      <c r="C375" s="24"/>
    </row>
    <row r="376">
      <c r="B376" s="24"/>
      <c r="C376" s="24"/>
    </row>
    <row r="377">
      <c r="B377" s="24"/>
      <c r="C377" s="24"/>
    </row>
    <row r="378">
      <c r="B378" s="24"/>
      <c r="C378" s="24"/>
    </row>
    <row r="379">
      <c r="B379" s="24"/>
      <c r="C379" s="24"/>
    </row>
    <row r="380">
      <c r="B380" s="24"/>
      <c r="C380" s="24"/>
    </row>
    <row r="381">
      <c r="B381" s="24"/>
      <c r="C381" s="24"/>
    </row>
    <row r="382">
      <c r="B382" s="24"/>
      <c r="C382" s="24"/>
    </row>
    <row r="383">
      <c r="B383" s="24"/>
      <c r="C383" s="24"/>
    </row>
    <row r="384">
      <c r="B384" s="24"/>
      <c r="C384" s="24"/>
    </row>
    <row r="385">
      <c r="B385" s="24"/>
      <c r="C385" s="24"/>
    </row>
    <row r="386">
      <c r="B386" s="24"/>
      <c r="C386" s="24"/>
    </row>
    <row r="387">
      <c r="B387" s="24"/>
      <c r="C387" s="24"/>
    </row>
    <row r="388">
      <c r="B388" s="24"/>
      <c r="C388" s="24"/>
    </row>
    <row r="389">
      <c r="B389" s="24"/>
      <c r="C389" s="24"/>
    </row>
    <row r="390">
      <c r="B390" s="24"/>
      <c r="C390" s="24"/>
    </row>
    <row r="391">
      <c r="B391" s="24"/>
      <c r="C391" s="24"/>
    </row>
    <row r="392">
      <c r="B392" s="24"/>
      <c r="C392" s="24"/>
    </row>
    <row r="393">
      <c r="B393" s="24"/>
      <c r="C393" s="24"/>
    </row>
    <row r="394">
      <c r="B394" s="24"/>
      <c r="C394" s="24"/>
    </row>
    <row r="395">
      <c r="B395" s="24"/>
      <c r="C395" s="24"/>
    </row>
    <row r="396">
      <c r="B396" s="24"/>
      <c r="C396" s="24"/>
    </row>
    <row r="397">
      <c r="B397" s="24"/>
      <c r="C397" s="24"/>
    </row>
    <row r="398">
      <c r="B398" s="24"/>
      <c r="C398" s="24"/>
    </row>
    <row r="399">
      <c r="B399" s="24"/>
      <c r="C399" s="24"/>
    </row>
    <row r="400">
      <c r="B400" s="24"/>
      <c r="C400" s="24"/>
    </row>
    <row r="401">
      <c r="B401" s="24"/>
      <c r="C401" s="24"/>
    </row>
    <row r="402">
      <c r="B402" s="24"/>
      <c r="C402" s="24"/>
    </row>
    <row r="403">
      <c r="B403" s="24"/>
      <c r="C403" s="24"/>
    </row>
    <row r="404">
      <c r="B404" s="24"/>
      <c r="C404" s="24"/>
    </row>
    <row r="405">
      <c r="B405" s="24"/>
      <c r="C405" s="24"/>
    </row>
    <row r="406">
      <c r="B406" s="24"/>
      <c r="C406" s="24"/>
    </row>
    <row r="407">
      <c r="B407" s="24"/>
      <c r="C407" s="24"/>
    </row>
    <row r="408">
      <c r="B408" s="24"/>
      <c r="C408" s="24"/>
    </row>
    <row r="409">
      <c r="B409" s="24"/>
      <c r="C409" s="24"/>
    </row>
    <row r="410">
      <c r="B410" s="24"/>
      <c r="C410" s="24"/>
    </row>
    <row r="411">
      <c r="B411" s="24"/>
      <c r="C411" s="24"/>
    </row>
    <row r="412">
      <c r="B412" s="24"/>
      <c r="C412" s="24"/>
    </row>
    <row r="413">
      <c r="B413" s="24"/>
      <c r="C413" s="24"/>
    </row>
    <row r="414">
      <c r="B414" s="24"/>
      <c r="C414" s="24"/>
    </row>
    <row r="415">
      <c r="B415" s="24"/>
      <c r="C415" s="24"/>
    </row>
    <row r="416">
      <c r="B416" s="24"/>
      <c r="C416" s="24"/>
    </row>
    <row r="417">
      <c r="B417" s="24"/>
      <c r="C417" s="24"/>
    </row>
    <row r="418">
      <c r="B418" s="24"/>
      <c r="C418" s="24"/>
    </row>
    <row r="419">
      <c r="B419" s="24"/>
      <c r="C419" s="24"/>
    </row>
    <row r="420">
      <c r="B420" s="24"/>
      <c r="C420" s="24"/>
    </row>
    <row r="421">
      <c r="B421" s="24"/>
      <c r="C421" s="24"/>
    </row>
    <row r="422">
      <c r="B422" s="24"/>
      <c r="C422" s="24"/>
    </row>
    <row r="423">
      <c r="B423" s="24"/>
      <c r="C423" s="24"/>
    </row>
    <row r="424">
      <c r="B424" s="24"/>
      <c r="C424" s="24"/>
    </row>
    <row r="425">
      <c r="B425" s="24"/>
      <c r="C425" s="24"/>
    </row>
    <row r="426">
      <c r="B426" s="24"/>
      <c r="C426" s="24"/>
    </row>
    <row r="427">
      <c r="B427" s="24"/>
      <c r="C427" s="24"/>
    </row>
    <row r="428">
      <c r="B428" s="24"/>
      <c r="C428" s="24"/>
    </row>
    <row r="429">
      <c r="B429" s="24"/>
      <c r="C429" s="24"/>
    </row>
    <row r="430">
      <c r="B430" s="24"/>
      <c r="C430" s="24"/>
    </row>
    <row r="431">
      <c r="B431" s="24"/>
      <c r="C431" s="24"/>
    </row>
    <row r="432">
      <c r="B432" s="24"/>
      <c r="C432" s="24"/>
    </row>
    <row r="433">
      <c r="B433" s="24"/>
      <c r="C433" s="24"/>
    </row>
    <row r="434">
      <c r="B434" s="24"/>
      <c r="C434" s="24"/>
    </row>
    <row r="435">
      <c r="B435" s="24"/>
      <c r="C435" s="24"/>
    </row>
    <row r="436">
      <c r="B436" s="24"/>
      <c r="C436" s="24"/>
    </row>
    <row r="437">
      <c r="B437" s="24"/>
      <c r="C437" s="24"/>
    </row>
    <row r="438">
      <c r="B438" s="24"/>
      <c r="C438" s="24"/>
    </row>
    <row r="439">
      <c r="B439" s="24"/>
      <c r="C439" s="24"/>
    </row>
    <row r="440">
      <c r="B440" s="24"/>
      <c r="C440" s="24"/>
    </row>
    <row r="441">
      <c r="B441" s="24"/>
      <c r="C441" s="24"/>
    </row>
    <row r="442">
      <c r="B442" s="24"/>
      <c r="C442" s="24"/>
    </row>
    <row r="443">
      <c r="B443" s="24"/>
      <c r="C443" s="24"/>
    </row>
    <row r="444">
      <c r="B444" s="24"/>
      <c r="C444" s="24"/>
    </row>
    <row r="445">
      <c r="B445" s="24"/>
      <c r="C445" s="24"/>
    </row>
    <row r="446">
      <c r="B446" s="24"/>
      <c r="C446" s="24"/>
    </row>
    <row r="447">
      <c r="B447" s="24"/>
      <c r="C447" s="24"/>
    </row>
    <row r="448">
      <c r="B448" s="24"/>
      <c r="C448" s="24"/>
    </row>
    <row r="449">
      <c r="B449" s="24"/>
      <c r="C449" s="24"/>
    </row>
    <row r="450">
      <c r="B450" s="24"/>
      <c r="C450" s="24"/>
    </row>
    <row r="451">
      <c r="B451" s="24"/>
      <c r="C451" s="24"/>
    </row>
    <row r="452">
      <c r="B452" s="24"/>
      <c r="C452" s="24"/>
    </row>
    <row r="453">
      <c r="B453" s="24"/>
      <c r="C453" s="24"/>
    </row>
    <row r="454">
      <c r="B454" s="24"/>
      <c r="C454" s="24"/>
    </row>
    <row r="455">
      <c r="B455" s="24"/>
      <c r="C455" s="24"/>
    </row>
    <row r="456">
      <c r="B456" s="24"/>
      <c r="C456" s="24"/>
    </row>
    <row r="457">
      <c r="B457" s="24"/>
      <c r="C457" s="24"/>
    </row>
    <row r="458">
      <c r="B458" s="24"/>
      <c r="C458" s="24"/>
    </row>
    <row r="459">
      <c r="B459" s="24"/>
      <c r="C459" s="24"/>
    </row>
    <row r="460">
      <c r="B460" s="24"/>
      <c r="C460" s="24"/>
    </row>
    <row r="461">
      <c r="B461" s="24"/>
      <c r="C461" s="24"/>
    </row>
    <row r="462">
      <c r="B462" s="24"/>
      <c r="C462" s="24"/>
    </row>
    <row r="463">
      <c r="B463" s="24"/>
      <c r="C463" s="24"/>
    </row>
    <row r="464">
      <c r="B464" s="24"/>
      <c r="C464" s="24"/>
    </row>
    <row r="465">
      <c r="B465" s="24"/>
      <c r="C465" s="24"/>
    </row>
    <row r="466">
      <c r="B466" s="24"/>
      <c r="C466" s="24"/>
    </row>
    <row r="467">
      <c r="B467" s="24"/>
      <c r="C467" s="24"/>
    </row>
    <row r="468">
      <c r="B468" s="24"/>
      <c r="C468" s="24"/>
    </row>
    <row r="469">
      <c r="B469" s="24"/>
      <c r="C469" s="24"/>
    </row>
    <row r="470">
      <c r="B470" s="24"/>
      <c r="C470" s="24"/>
    </row>
    <row r="471">
      <c r="B471" s="24"/>
      <c r="C471" s="24"/>
    </row>
    <row r="472">
      <c r="B472" s="24"/>
      <c r="C472" s="24"/>
    </row>
    <row r="473">
      <c r="B473" s="24"/>
      <c r="C473" s="24"/>
    </row>
    <row r="474">
      <c r="B474" s="24"/>
      <c r="C474" s="24"/>
    </row>
    <row r="475">
      <c r="B475" s="24"/>
      <c r="C475" s="24"/>
    </row>
    <row r="476">
      <c r="B476" s="24"/>
      <c r="C476" s="24"/>
    </row>
    <row r="477">
      <c r="B477" s="24"/>
      <c r="C477" s="24"/>
    </row>
    <row r="478">
      <c r="B478" s="24"/>
      <c r="C478" s="24"/>
    </row>
    <row r="479">
      <c r="B479" s="24"/>
      <c r="C479" s="24"/>
    </row>
    <row r="480">
      <c r="B480" s="24"/>
      <c r="C480" s="24"/>
    </row>
    <row r="481">
      <c r="B481" s="24"/>
      <c r="C481" s="24"/>
    </row>
    <row r="482">
      <c r="B482" s="24"/>
      <c r="C482" s="24"/>
    </row>
    <row r="483">
      <c r="B483" s="24"/>
      <c r="C483" s="24"/>
    </row>
    <row r="484">
      <c r="B484" s="24"/>
      <c r="C484" s="24"/>
    </row>
    <row r="485">
      <c r="B485" s="24"/>
      <c r="C485" s="24"/>
    </row>
    <row r="486">
      <c r="B486" s="24"/>
      <c r="C486" s="24"/>
    </row>
    <row r="487">
      <c r="B487" s="24"/>
      <c r="C487" s="24"/>
    </row>
    <row r="488">
      <c r="B488" s="24"/>
      <c r="C488" s="24"/>
    </row>
    <row r="489">
      <c r="B489" s="24"/>
      <c r="C489" s="24"/>
    </row>
    <row r="490">
      <c r="B490" s="24"/>
      <c r="C490" s="24"/>
    </row>
    <row r="491">
      <c r="B491" s="24"/>
      <c r="C491" s="24"/>
    </row>
    <row r="492">
      <c r="B492" s="24"/>
      <c r="C492" s="24"/>
    </row>
    <row r="493">
      <c r="B493" s="24"/>
      <c r="C493" s="24"/>
    </row>
    <row r="494">
      <c r="B494" s="24"/>
      <c r="C494" s="24"/>
    </row>
    <row r="495">
      <c r="B495" s="24"/>
      <c r="C495" s="24"/>
    </row>
    <row r="496">
      <c r="B496" s="24"/>
      <c r="C496" s="24"/>
    </row>
    <row r="497">
      <c r="B497" s="24"/>
      <c r="C497" s="24"/>
    </row>
    <row r="498">
      <c r="B498" s="24"/>
      <c r="C498" s="24"/>
    </row>
    <row r="499">
      <c r="B499" s="24"/>
      <c r="C499" s="24"/>
    </row>
    <row r="500">
      <c r="B500" s="24"/>
      <c r="C500" s="24"/>
    </row>
    <row r="501">
      <c r="B501" s="24"/>
      <c r="C501" s="24"/>
    </row>
    <row r="502">
      <c r="B502" s="24"/>
      <c r="C502" s="24"/>
    </row>
    <row r="503">
      <c r="B503" s="24"/>
      <c r="C503" s="24"/>
    </row>
    <row r="504">
      <c r="B504" s="24"/>
      <c r="C504" s="24"/>
    </row>
    <row r="505">
      <c r="B505" s="24"/>
      <c r="C505" s="24"/>
    </row>
    <row r="506">
      <c r="B506" s="24"/>
      <c r="C506" s="24"/>
    </row>
    <row r="507">
      <c r="B507" s="24"/>
      <c r="C507" s="24"/>
    </row>
    <row r="508">
      <c r="B508" s="24"/>
      <c r="C508" s="24"/>
    </row>
    <row r="509">
      <c r="B509" s="24"/>
      <c r="C509" s="24"/>
    </row>
    <row r="510">
      <c r="B510" s="24"/>
      <c r="C510" s="24"/>
    </row>
    <row r="511">
      <c r="B511" s="24"/>
      <c r="C511" s="24"/>
    </row>
    <row r="512">
      <c r="B512" s="24"/>
      <c r="C512" s="24"/>
    </row>
    <row r="513">
      <c r="B513" s="24"/>
      <c r="C513" s="24"/>
    </row>
    <row r="514">
      <c r="B514" s="24"/>
      <c r="C514" s="24"/>
    </row>
    <row r="515">
      <c r="B515" s="24"/>
      <c r="C515" s="24"/>
    </row>
    <row r="516">
      <c r="B516" s="24"/>
      <c r="C516" s="24"/>
    </row>
    <row r="517">
      <c r="B517" s="24"/>
      <c r="C517" s="24"/>
    </row>
    <row r="518">
      <c r="B518" s="24"/>
      <c r="C518" s="24"/>
    </row>
    <row r="519">
      <c r="B519" s="24"/>
      <c r="C519" s="24"/>
    </row>
    <row r="520">
      <c r="B520" s="24"/>
      <c r="C520" s="24"/>
    </row>
    <row r="521">
      <c r="B521" s="24"/>
      <c r="C521" s="24"/>
    </row>
    <row r="522">
      <c r="B522" s="24"/>
      <c r="C522" s="24"/>
    </row>
    <row r="523">
      <c r="B523" s="24"/>
      <c r="C523" s="24"/>
    </row>
    <row r="524">
      <c r="B524" s="24"/>
      <c r="C524" s="24"/>
    </row>
    <row r="525">
      <c r="B525" s="24"/>
      <c r="C525" s="24"/>
    </row>
    <row r="526">
      <c r="B526" s="24"/>
      <c r="C526" s="24"/>
    </row>
    <row r="527">
      <c r="B527" s="24"/>
      <c r="C527" s="24"/>
    </row>
    <row r="528">
      <c r="B528" s="24"/>
      <c r="C528" s="24"/>
    </row>
    <row r="529">
      <c r="B529" s="24"/>
      <c r="C529" s="24"/>
    </row>
    <row r="530">
      <c r="B530" s="24"/>
      <c r="C530" s="24"/>
    </row>
    <row r="531">
      <c r="B531" s="24"/>
      <c r="C531" s="24"/>
    </row>
    <row r="532">
      <c r="B532" s="24"/>
      <c r="C532" s="24"/>
    </row>
    <row r="533">
      <c r="B533" s="24"/>
      <c r="C533" s="24"/>
    </row>
    <row r="534">
      <c r="B534" s="24"/>
      <c r="C534" s="24"/>
    </row>
    <row r="535">
      <c r="B535" s="24"/>
      <c r="C535" s="24"/>
    </row>
    <row r="536">
      <c r="B536" s="24"/>
      <c r="C536" s="24"/>
    </row>
    <row r="537">
      <c r="B537" s="24"/>
      <c r="C537" s="24"/>
    </row>
    <row r="538">
      <c r="B538" s="24"/>
      <c r="C538" s="24"/>
    </row>
    <row r="539">
      <c r="B539" s="24"/>
      <c r="C539" s="24"/>
    </row>
    <row r="540">
      <c r="B540" s="24"/>
      <c r="C540" s="24"/>
    </row>
    <row r="541">
      <c r="B541" s="24"/>
      <c r="C541" s="24"/>
    </row>
    <row r="542">
      <c r="B542" s="24"/>
      <c r="C542" s="24"/>
    </row>
    <row r="543">
      <c r="B543" s="24"/>
      <c r="C543" s="24"/>
    </row>
    <row r="544">
      <c r="B544" s="24"/>
      <c r="C544" s="24"/>
    </row>
    <row r="545">
      <c r="B545" s="24"/>
      <c r="C545" s="24"/>
    </row>
    <row r="546">
      <c r="B546" s="24"/>
      <c r="C546" s="24"/>
    </row>
    <row r="547">
      <c r="B547" s="24"/>
      <c r="C547" s="24"/>
    </row>
    <row r="548">
      <c r="B548" s="24"/>
      <c r="C548" s="24"/>
    </row>
    <row r="549">
      <c r="B549" s="24"/>
      <c r="C549" s="24"/>
    </row>
    <row r="550">
      <c r="B550" s="24"/>
      <c r="C550" s="24"/>
    </row>
    <row r="551">
      <c r="B551" s="24"/>
      <c r="C551" s="24"/>
    </row>
    <row r="552">
      <c r="B552" s="24"/>
      <c r="C552" s="24"/>
    </row>
    <row r="553">
      <c r="B553" s="24"/>
      <c r="C553" s="24"/>
    </row>
    <row r="554">
      <c r="B554" s="24"/>
      <c r="C554" s="24"/>
    </row>
    <row r="555">
      <c r="B555" s="24"/>
      <c r="C555" s="24"/>
    </row>
    <row r="556">
      <c r="B556" s="24"/>
      <c r="C556" s="24"/>
    </row>
    <row r="557">
      <c r="B557" s="24"/>
      <c r="C557" s="24"/>
    </row>
    <row r="558">
      <c r="B558" s="24"/>
      <c r="C558" s="24"/>
    </row>
    <row r="559">
      <c r="B559" s="24"/>
      <c r="C559" s="24"/>
    </row>
    <row r="560">
      <c r="B560" s="24"/>
      <c r="C560" s="24"/>
    </row>
    <row r="561">
      <c r="B561" s="24"/>
      <c r="C561" s="24"/>
    </row>
    <row r="562">
      <c r="B562" s="24"/>
      <c r="C562" s="24"/>
    </row>
    <row r="563">
      <c r="B563" s="24"/>
      <c r="C563" s="24"/>
    </row>
    <row r="564">
      <c r="B564" s="24"/>
      <c r="C564" s="24"/>
    </row>
    <row r="565">
      <c r="B565" s="24"/>
      <c r="C565" s="24"/>
    </row>
    <row r="566">
      <c r="B566" s="24"/>
      <c r="C566" s="24"/>
    </row>
    <row r="567">
      <c r="B567" s="24"/>
      <c r="C567" s="24"/>
    </row>
    <row r="568">
      <c r="B568" s="24"/>
      <c r="C568" s="24"/>
    </row>
    <row r="569">
      <c r="B569" s="24"/>
      <c r="C569" s="24"/>
    </row>
    <row r="570">
      <c r="B570" s="24"/>
      <c r="C570" s="24"/>
    </row>
    <row r="571">
      <c r="B571" s="24"/>
      <c r="C571" s="24"/>
    </row>
    <row r="572">
      <c r="B572" s="24"/>
      <c r="C572" s="24"/>
    </row>
    <row r="573">
      <c r="B573" s="24"/>
      <c r="C573" s="24"/>
    </row>
    <row r="574">
      <c r="B574" s="24"/>
      <c r="C574" s="24"/>
    </row>
    <row r="575">
      <c r="B575" s="24"/>
      <c r="C575" s="24"/>
    </row>
    <row r="576">
      <c r="B576" s="24"/>
      <c r="C576" s="24"/>
    </row>
    <row r="577">
      <c r="B577" s="24"/>
      <c r="C577" s="24"/>
    </row>
    <row r="578">
      <c r="B578" s="24"/>
      <c r="C578" s="24"/>
    </row>
    <row r="579">
      <c r="B579" s="24"/>
      <c r="C579" s="24"/>
    </row>
    <row r="580">
      <c r="B580" s="24"/>
      <c r="C580" s="24"/>
    </row>
    <row r="581">
      <c r="B581" s="24"/>
      <c r="C581" s="24"/>
    </row>
    <row r="582">
      <c r="B582" s="24"/>
      <c r="C582" s="24"/>
    </row>
    <row r="583">
      <c r="B583" s="24"/>
      <c r="C583" s="24"/>
    </row>
    <row r="584">
      <c r="B584" s="24"/>
      <c r="C584" s="24"/>
    </row>
    <row r="585">
      <c r="B585" s="24"/>
      <c r="C585" s="24"/>
    </row>
    <row r="586">
      <c r="B586" s="24"/>
      <c r="C586" s="24"/>
    </row>
    <row r="587">
      <c r="B587" s="24"/>
      <c r="C587" s="24"/>
    </row>
    <row r="588">
      <c r="B588" s="24"/>
      <c r="C588" s="24"/>
    </row>
    <row r="589">
      <c r="B589" s="24"/>
      <c r="C589" s="24"/>
    </row>
    <row r="590">
      <c r="B590" s="24"/>
      <c r="C590" s="24"/>
    </row>
    <row r="591">
      <c r="B591" s="24"/>
      <c r="C591" s="24"/>
    </row>
    <row r="592">
      <c r="B592" s="24"/>
      <c r="C592" s="24"/>
    </row>
    <row r="593">
      <c r="B593" s="24"/>
      <c r="C593" s="24"/>
    </row>
    <row r="594">
      <c r="B594" s="24"/>
      <c r="C594" s="24"/>
    </row>
    <row r="595">
      <c r="B595" s="24"/>
      <c r="C595" s="24"/>
    </row>
    <row r="596">
      <c r="B596" s="24"/>
      <c r="C596" s="24"/>
    </row>
    <row r="597">
      <c r="B597" s="24"/>
      <c r="C597" s="24"/>
    </row>
    <row r="598">
      <c r="B598" s="24"/>
      <c r="C598" s="24"/>
    </row>
    <row r="599">
      <c r="B599" s="24"/>
      <c r="C599" s="24"/>
    </row>
    <row r="600">
      <c r="B600" s="24"/>
      <c r="C600" s="24"/>
    </row>
    <row r="601">
      <c r="B601" s="24"/>
      <c r="C601" s="24"/>
    </row>
    <row r="602">
      <c r="B602" s="24"/>
      <c r="C602" s="24"/>
    </row>
    <row r="603">
      <c r="B603" s="24"/>
      <c r="C603" s="24"/>
    </row>
    <row r="604">
      <c r="B604" s="24"/>
      <c r="C604" s="24"/>
    </row>
    <row r="605">
      <c r="B605" s="24"/>
      <c r="C605" s="24"/>
    </row>
    <row r="606">
      <c r="B606" s="24"/>
      <c r="C606" s="24"/>
    </row>
    <row r="607">
      <c r="B607" s="24"/>
      <c r="C607" s="24"/>
    </row>
    <row r="608">
      <c r="B608" s="24"/>
      <c r="C608" s="24"/>
    </row>
    <row r="609">
      <c r="B609" s="24"/>
      <c r="C609" s="24"/>
    </row>
    <row r="610">
      <c r="B610" s="24"/>
      <c r="C610" s="24"/>
    </row>
    <row r="611">
      <c r="B611" s="24"/>
      <c r="C611" s="24"/>
    </row>
    <row r="612">
      <c r="B612" s="24"/>
      <c r="C612" s="24"/>
    </row>
    <row r="613">
      <c r="B613" s="24"/>
      <c r="C613" s="24"/>
    </row>
    <row r="614">
      <c r="B614" s="24"/>
      <c r="C614" s="24"/>
    </row>
    <row r="615">
      <c r="B615" s="24"/>
      <c r="C615" s="24"/>
    </row>
    <row r="616">
      <c r="B616" s="24"/>
      <c r="C616" s="24"/>
    </row>
    <row r="617">
      <c r="B617" s="24"/>
      <c r="C617" s="24"/>
    </row>
    <row r="618">
      <c r="B618" s="24"/>
      <c r="C618" s="24"/>
    </row>
    <row r="619">
      <c r="B619" s="24"/>
      <c r="C619" s="24"/>
    </row>
    <row r="620">
      <c r="B620" s="24"/>
      <c r="C620" s="24"/>
    </row>
    <row r="621">
      <c r="B621" s="24"/>
      <c r="C621" s="24"/>
    </row>
    <row r="622">
      <c r="B622" s="24"/>
      <c r="C622" s="24"/>
    </row>
    <row r="623">
      <c r="B623" s="24"/>
      <c r="C623" s="24"/>
    </row>
    <row r="624">
      <c r="B624" s="24"/>
      <c r="C624" s="24"/>
    </row>
    <row r="625">
      <c r="B625" s="24"/>
      <c r="C625" s="24"/>
    </row>
    <row r="626">
      <c r="B626" s="24"/>
      <c r="C626" s="24"/>
    </row>
    <row r="627">
      <c r="B627" s="24"/>
      <c r="C627" s="24"/>
    </row>
    <row r="628">
      <c r="B628" s="24"/>
      <c r="C628" s="24"/>
    </row>
    <row r="629">
      <c r="B629" s="24"/>
      <c r="C629" s="24"/>
    </row>
    <row r="630">
      <c r="B630" s="24"/>
      <c r="C630" s="24"/>
    </row>
    <row r="631">
      <c r="B631" s="24"/>
      <c r="C631" s="24"/>
    </row>
    <row r="632">
      <c r="B632" s="24"/>
      <c r="C632" s="24"/>
    </row>
    <row r="633">
      <c r="B633" s="24"/>
      <c r="C633" s="24"/>
    </row>
    <row r="634">
      <c r="B634" s="24"/>
      <c r="C634" s="24"/>
    </row>
    <row r="635">
      <c r="B635" s="24"/>
      <c r="C635" s="24"/>
    </row>
    <row r="636">
      <c r="B636" s="24"/>
      <c r="C636" s="24"/>
    </row>
    <row r="637">
      <c r="B637" s="24"/>
      <c r="C637" s="24"/>
    </row>
    <row r="638">
      <c r="B638" s="24"/>
      <c r="C638" s="24"/>
    </row>
    <row r="639">
      <c r="B639" s="24"/>
      <c r="C639" s="24"/>
    </row>
    <row r="640">
      <c r="B640" s="24"/>
      <c r="C640" s="24"/>
    </row>
    <row r="641">
      <c r="B641" s="24"/>
      <c r="C641" s="24"/>
    </row>
    <row r="642">
      <c r="B642" s="24"/>
      <c r="C642" s="24"/>
    </row>
    <row r="643">
      <c r="B643" s="24"/>
      <c r="C643" s="24"/>
    </row>
    <row r="644">
      <c r="B644" s="24"/>
      <c r="C644" s="24"/>
    </row>
    <row r="645">
      <c r="B645" s="24"/>
      <c r="C645" s="24"/>
    </row>
    <row r="646">
      <c r="B646" s="24"/>
      <c r="C646" s="24"/>
    </row>
    <row r="647">
      <c r="B647" s="24"/>
      <c r="C647" s="24"/>
    </row>
    <row r="648">
      <c r="B648" s="24"/>
      <c r="C648" s="24"/>
    </row>
    <row r="649">
      <c r="B649" s="24"/>
      <c r="C649" s="24"/>
    </row>
    <row r="650">
      <c r="B650" s="24"/>
      <c r="C650" s="24"/>
    </row>
    <row r="651">
      <c r="B651" s="24"/>
      <c r="C651" s="24"/>
    </row>
    <row r="652">
      <c r="B652" s="24"/>
      <c r="C652" s="24"/>
    </row>
    <row r="653">
      <c r="B653" s="24"/>
      <c r="C653" s="24"/>
    </row>
    <row r="654">
      <c r="B654" s="24"/>
      <c r="C654" s="24"/>
    </row>
    <row r="655">
      <c r="B655" s="24"/>
      <c r="C655" s="24"/>
    </row>
    <row r="656">
      <c r="B656" s="24"/>
      <c r="C656" s="24"/>
    </row>
    <row r="657">
      <c r="B657" s="24"/>
      <c r="C657" s="24"/>
    </row>
    <row r="658">
      <c r="B658" s="24"/>
      <c r="C658" s="24"/>
    </row>
    <row r="659">
      <c r="B659" s="24"/>
      <c r="C659" s="24"/>
    </row>
    <row r="660">
      <c r="B660" s="24"/>
      <c r="C660" s="24"/>
    </row>
    <row r="661">
      <c r="B661" s="24"/>
      <c r="C661" s="24"/>
    </row>
    <row r="662">
      <c r="B662" s="24"/>
      <c r="C662" s="24"/>
    </row>
    <row r="663">
      <c r="B663" s="24"/>
      <c r="C663" s="24"/>
    </row>
    <row r="664">
      <c r="B664" s="24"/>
      <c r="C664" s="24"/>
    </row>
    <row r="665">
      <c r="B665" s="24"/>
      <c r="C665" s="24"/>
    </row>
    <row r="666">
      <c r="B666" s="24"/>
      <c r="C666" s="24"/>
    </row>
    <row r="667">
      <c r="B667" s="24"/>
      <c r="C667" s="24"/>
    </row>
    <row r="668">
      <c r="B668" s="24"/>
      <c r="C668" s="24"/>
    </row>
    <row r="669">
      <c r="B669" s="24"/>
      <c r="C669" s="24"/>
    </row>
    <row r="670">
      <c r="B670" s="24"/>
      <c r="C670" s="24"/>
    </row>
    <row r="671">
      <c r="B671" s="24"/>
      <c r="C671" s="24"/>
    </row>
    <row r="672">
      <c r="B672" s="24"/>
      <c r="C672" s="24"/>
    </row>
    <row r="673">
      <c r="B673" s="24"/>
      <c r="C673" s="24"/>
    </row>
    <row r="674">
      <c r="B674" s="24"/>
      <c r="C674" s="24"/>
    </row>
    <row r="675">
      <c r="B675" s="24"/>
      <c r="C675" s="24"/>
    </row>
    <row r="676">
      <c r="B676" s="24"/>
      <c r="C676" s="24"/>
    </row>
    <row r="677">
      <c r="B677" s="24"/>
      <c r="C677" s="24"/>
    </row>
    <row r="678">
      <c r="B678" s="24"/>
      <c r="C678" s="24"/>
    </row>
    <row r="679">
      <c r="B679" s="24"/>
      <c r="C679" s="24"/>
    </row>
    <row r="680">
      <c r="B680" s="24"/>
      <c r="C680" s="24"/>
    </row>
    <row r="681">
      <c r="B681" s="24"/>
      <c r="C681" s="24"/>
    </row>
    <row r="682">
      <c r="B682" s="24"/>
      <c r="C682" s="24"/>
    </row>
    <row r="683">
      <c r="B683" s="24"/>
      <c r="C683" s="24"/>
    </row>
    <row r="684">
      <c r="B684" s="24"/>
      <c r="C684" s="24"/>
    </row>
    <row r="685">
      <c r="B685" s="24"/>
      <c r="C685" s="24"/>
    </row>
    <row r="686">
      <c r="B686" s="24"/>
      <c r="C686" s="24"/>
    </row>
    <row r="687">
      <c r="B687" s="24"/>
      <c r="C687" s="24"/>
    </row>
    <row r="688">
      <c r="B688" s="24"/>
      <c r="C688" s="24"/>
    </row>
    <row r="689">
      <c r="B689" s="24"/>
      <c r="C689" s="24"/>
    </row>
    <row r="690">
      <c r="B690" s="24"/>
      <c r="C690" s="24"/>
    </row>
    <row r="691">
      <c r="B691" s="24"/>
      <c r="C691" s="24"/>
    </row>
    <row r="692">
      <c r="B692" s="24"/>
      <c r="C692" s="24"/>
    </row>
    <row r="693">
      <c r="B693" s="24"/>
      <c r="C693" s="24"/>
    </row>
    <row r="694">
      <c r="B694" s="24"/>
      <c r="C694" s="24"/>
    </row>
    <row r="695">
      <c r="B695" s="24"/>
      <c r="C695" s="24"/>
    </row>
    <row r="696">
      <c r="B696" s="24"/>
      <c r="C696" s="24"/>
    </row>
    <row r="697">
      <c r="B697" s="24"/>
      <c r="C697" s="24"/>
    </row>
    <row r="698">
      <c r="B698" s="24"/>
      <c r="C698" s="24"/>
    </row>
    <row r="699">
      <c r="B699" s="24"/>
      <c r="C699" s="24"/>
    </row>
    <row r="700">
      <c r="B700" s="24"/>
      <c r="C700" s="24"/>
    </row>
    <row r="701">
      <c r="B701" s="24"/>
      <c r="C701" s="24"/>
    </row>
    <row r="702">
      <c r="B702" s="24"/>
      <c r="C702" s="24"/>
    </row>
    <row r="703">
      <c r="B703" s="24"/>
      <c r="C703" s="24"/>
    </row>
    <row r="704">
      <c r="B704" s="24"/>
      <c r="C704" s="24"/>
    </row>
    <row r="705">
      <c r="B705" s="24"/>
      <c r="C705" s="24"/>
    </row>
    <row r="706">
      <c r="B706" s="24"/>
      <c r="C706" s="24"/>
    </row>
    <row r="707">
      <c r="B707" s="24"/>
      <c r="C707" s="24"/>
    </row>
    <row r="708">
      <c r="B708" s="24"/>
      <c r="C708" s="24"/>
    </row>
    <row r="709">
      <c r="B709" s="24"/>
      <c r="C709" s="24"/>
    </row>
    <row r="710">
      <c r="B710" s="24"/>
      <c r="C710" s="24"/>
    </row>
    <row r="711">
      <c r="B711" s="24"/>
      <c r="C711" s="24"/>
    </row>
    <row r="712">
      <c r="B712" s="24"/>
      <c r="C712" s="24"/>
    </row>
    <row r="713">
      <c r="B713" s="24"/>
      <c r="C713" s="24"/>
    </row>
    <row r="714">
      <c r="B714" s="24"/>
      <c r="C714" s="24"/>
    </row>
    <row r="715">
      <c r="B715" s="24"/>
      <c r="C715" s="24"/>
    </row>
    <row r="716">
      <c r="B716" s="24"/>
      <c r="C716" s="24"/>
    </row>
    <row r="717">
      <c r="B717" s="24"/>
      <c r="C717" s="24"/>
    </row>
    <row r="718">
      <c r="B718" s="24"/>
      <c r="C718" s="24"/>
    </row>
    <row r="719">
      <c r="B719" s="24"/>
      <c r="C719" s="24"/>
    </row>
    <row r="720">
      <c r="B720" s="24"/>
      <c r="C720" s="24"/>
    </row>
    <row r="721">
      <c r="B721" s="24"/>
      <c r="C721" s="24"/>
    </row>
    <row r="722">
      <c r="B722" s="24"/>
      <c r="C722" s="24"/>
    </row>
    <row r="723">
      <c r="B723" s="24"/>
      <c r="C723" s="24"/>
    </row>
    <row r="724">
      <c r="B724" s="24"/>
      <c r="C724" s="24"/>
    </row>
    <row r="725">
      <c r="B725" s="24"/>
      <c r="C725" s="24"/>
    </row>
    <row r="726">
      <c r="B726" s="24"/>
      <c r="C726" s="24"/>
    </row>
    <row r="727">
      <c r="B727" s="24"/>
      <c r="C727" s="24"/>
    </row>
    <row r="728">
      <c r="B728" s="24"/>
      <c r="C728" s="24"/>
    </row>
    <row r="729">
      <c r="B729" s="24"/>
      <c r="C729" s="24"/>
    </row>
    <row r="730">
      <c r="B730" s="24"/>
      <c r="C730" s="24"/>
    </row>
    <row r="731">
      <c r="B731" s="24"/>
      <c r="C731" s="24"/>
    </row>
    <row r="732">
      <c r="B732" s="24"/>
      <c r="C732" s="24"/>
    </row>
    <row r="733">
      <c r="B733" s="24"/>
      <c r="C733" s="24"/>
    </row>
    <row r="734">
      <c r="B734" s="24"/>
      <c r="C734" s="24"/>
    </row>
    <row r="735">
      <c r="B735" s="24"/>
      <c r="C735" s="24"/>
    </row>
    <row r="736">
      <c r="B736" s="24"/>
      <c r="C736" s="24"/>
    </row>
    <row r="737">
      <c r="B737" s="24"/>
      <c r="C737" s="24"/>
    </row>
    <row r="738">
      <c r="B738" s="24"/>
      <c r="C738" s="24"/>
    </row>
    <row r="739">
      <c r="B739" s="24"/>
      <c r="C739" s="24"/>
    </row>
    <row r="740">
      <c r="B740" s="24"/>
      <c r="C740" s="24"/>
    </row>
    <row r="741">
      <c r="B741" s="24"/>
      <c r="C741" s="24"/>
    </row>
    <row r="742">
      <c r="B742" s="24"/>
      <c r="C742" s="24"/>
    </row>
    <row r="743">
      <c r="B743" s="24"/>
      <c r="C743" s="24"/>
    </row>
    <row r="744">
      <c r="B744" s="24"/>
      <c r="C744" s="24"/>
    </row>
    <row r="745">
      <c r="B745" s="24"/>
      <c r="C745" s="24"/>
    </row>
    <row r="746">
      <c r="B746" s="24"/>
      <c r="C746" s="24"/>
    </row>
    <row r="747">
      <c r="B747" s="24"/>
      <c r="C747" s="24"/>
    </row>
    <row r="748">
      <c r="B748" s="24"/>
      <c r="C748" s="24"/>
    </row>
    <row r="749">
      <c r="B749" s="24"/>
      <c r="C749" s="24"/>
    </row>
    <row r="750">
      <c r="B750" s="24"/>
      <c r="C750" s="24"/>
    </row>
    <row r="751">
      <c r="B751" s="24"/>
      <c r="C751" s="24"/>
    </row>
    <row r="752">
      <c r="B752" s="24"/>
      <c r="C752" s="24"/>
    </row>
    <row r="753">
      <c r="B753" s="24"/>
      <c r="C753" s="24"/>
    </row>
    <row r="754">
      <c r="B754" s="24"/>
      <c r="C754" s="24"/>
    </row>
    <row r="755">
      <c r="B755" s="24"/>
      <c r="C755" s="24"/>
    </row>
    <row r="756">
      <c r="B756" s="24"/>
      <c r="C756" s="24"/>
    </row>
    <row r="757">
      <c r="B757" s="24"/>
      <c r="C757" s="24"/>
    </row>
    <row r="758">
      <c r="B758" s="24"/>
      <c r="C758" s="24"/>
    </row>
    <row r="759">
      <c r="B759" s="24"/>
      <c r="C759" s="24"/>
    </row>
    <row r="760">
      <c r="B760" s="24"/>
      <c r="C760" s="24"/>
    </row>
    <row r="761">
      <c r="B761" s="24"/>
      <c r="C761" s="24"/>
    </row>
    <row r="762">
      <c r="B762" s="24"/>
      <c r="C762" s="24"/>
    </row>
    <row r="763">
      <c r="B763" s="24"/>
      <c r="C763" s="24"/>
    </row>
    <row r="764">
      <c r="B764" s="24"/>
      <c r="C764" s="24"/>
    </row>
    <row r="765">
      <c r="B765" s="24"/>
      <c r="C765" s="24"/>
    </row>
    <row r="766">
      <c r="B766" s="24"/>
      <c r="C766" s="24"/>
    </row>
    <row r="767">
      <c r="B767" s="24"/>
      <c r="C767" s="24"/>
    </row>
    <row r="768">
      <c r="B768" s="24"/>
      <c r="C768" s="24"/>
    </row>
    <row r="769">
      <c r="B769" s="24"/>
      <c r="C769" s="24"/>
    </row>
    <row r="770">
      <c r="B770" s="24"/>
      <c r="C770" s="24"/>
    </row>
    <row r="771">
      <c r="B771" s="24"/>
      <c r="C771" s="24"/>
    </row>
    <row r="772">
      <c r="B772" s="24"/>
      <c r="C772" s="24"/>
    </row>
    <row r="773">
      <c r="B773" s="24"/>
      <c r="C773" s="24"/>
    </row>
    <row r="774">
      <c r="B774" s="24"/>
      <c r="C774" s="24"/>
    </row>
    <row r="775">
      <c r="B775" s="24"/>
      <c r="C775" s="24"/>
    </row>
    <row r="776">
      <c r="B776" s="24"/>
      <c r="C776" s="24"/>
    </row>
    <row r="777">
      <c r="B777" s="24"/>
      <c r="C777" s="24"/>
    </row>
    <row r="778">
      <c r="B778" s="24"/>
      <c r="C778" s="24"/>
    </row>
    <row r="779">
      <c r="B779" s="24"/>
      <c r="C779" s="24"/>
    </row>
    <row r="780">
      <c r="B780" s="24"/>
      <c r="C780" s="24"/>
    </row>
    <row r="781">
      <c r="B781" s="24"/>
      <c r="C781" s="24"/>
    </row>
    <row r="782">
      <c r="B782" s="24"/>
      <c r="C782" s="24"/>
    </row>
    <row r="783">
      <c r="B783" s="24"/>
      <c r="C783" s="24"/>
    </row>
    <row r="784">
      <c r="B784" s="24"/>
      <c r="C784" s="24"/>
    </row>
    <row r="785">
      <c r="B785" s="24"/>
      <c r="C785" s="24"/>
    </row>
    <row r="786">
      <c r="B786" s="24"/>
      <c r="C786" s="24"/>
    </row>
    <row r="787">
      <c r="B787" s="24"/>
      <c r="C787" s="24"/>
    </row>
    <row r="788">
      <c r="B788" s="24"/>
      <c r="C788" s="24"/>
    </row>
    <row r="789">
      <c r="B789" s="24"/>
      <c r="C789" s="24"/>
    </row>
    <row r="790">
      <c r="B790" s="24"/>
      <c r="C790" s="24"/>
    </row>
    <row r="791">
      <c r="B791" s="24"/>
      <c r="C791" s="24"/>
    </row>
    <row r="792">
      <c r="B792" s="24"/>
      <c r="C792" s="24"/>
    </row>
    <row r="793">
      <c r="B793" s="24"/>
      <c r="C793" s="24"/>
    </row>
    <row r="794">
      <c r="B794" s="24"/>
      <c r="C794" s="24"/>
    </row>
    <row r="795">
      <c r="B795" s="24"/>
      <c r="C795" s="24"/>
    </row>
    <row r="796">
      <c r="B796" s="24"/>
      <c r="C796" s="24"/>
    </row>
    <row r="797">
      <c r="B797" s="24"/>
      <c r="C797" s="24"/>
    </row>
    <row r="798">
      <c r="B798" s="24"/>
      <c r="C798" s="24"/>
    </row>
    <row r="799">
      <c r="B799" s="24"/>
      <c r="C799" s="24"/>
    </row>
    <row r="800">
      <c r="B800" s="24"/>
      <c r="C800" s="24"/>
    </row>
    <row r="801">
      <c r="B801" s="24"/>
      <c r="C801" s="24"/>
    </row>
    <row r="802">
      <c r="B802" s="24"/>
      <c r="C802" s="24"/>
    </row>
    <row r="803">
      <c r="B803" s="24"/>
      <c r="C803" s="24"/>
    </row>
    <row r="804">
      <c r="B804" s="24"/>
      <c r="C804" s="24"/>
    </row>
    <row r="805">
      <c r="B805" s="24"/>
      <c r="C805" s="24"/>
    </row>
    <row r="806">
      <c r="B806" s="24"/>
      <c r="C806" s="24"/>
    </row>
    <row r="807">
      <c r="B807" s="24"/>
      <c r="C807" s="24"/>
    </row>
    <row r="808">
      <c r="B808" s="24"/>
      <c r="C808" s="24"/>
    </row>
    <row r="809">
      <c r="B809" s="24"/>
      <c r="C809" s="24"/>
    </row>
    <row r="810">
      <c r="B810" s="24"/>
      <c r="C810" s="24"/>
    </row>
    <row r="811">
      <c r="B811" s="24"/>
      <c r="C811" s="24"/>
    </row>
    <row r="812">
      <c r="B812" s="24"/>
      <c r="C812" s="24"/>
    </row>
    <row r="813">
      <c r="B813" s="24"/>
      <c r="C813" s="24"/>
    </row>
    <row r="814">
      <c r="B814" s="24"/>
      <c r="C814" s="24"/>
    </row>
    <row r="815">
      <c r="B815" s="24"/>
      <c r="C815" s="24"/>
    </row>
    <row r="816">
      <c r="B816" s="24"/>
      <c r="C816" s="24"/>
    </row>
    <row r="817">
      <c r="B817" s="24"/>
      <c r="C817" s="24"/>
    </row>
    <row r="818">
      <c r="B818" s="24"/>
      <c r="C818" s="24"/>
    </row>
    <row r="819">
      <c r="B819" s="24"/>
      <c r="C819" s="24"/>
    </row>
    <row r="820">
      <c r="B820" s="24"/>
      <c r="C820" s="24"/>
    </row>
    <row r="821">
      <c r="B821" s="24"/>
      <c r="C821" s="24"/>
    </row>
    <row r="822">
      <c r="B822" s="24"/>
      <c r="C822" s="24"/>
    </row>
    <row r="823">
      <c r="B823" s="24"/>
      <c r="C823" s="24"/>
    </row>
    <row r="824">
      <c r="B824" s="24"/>
      <c r="C824" s="24"/>
    </row>
    <row r="825">
      <c r="B825" s="24"/>
      <c r="C825" s="24"/>
    </row>
    <row r="826">
      <c r="B826" s="24"/>
      <c r="C826" s="24"/>
    </row>
    <row r="827">
      <c r="B827" s="24"/>
      <c r="C827" s="24"/>
    </row>
    <row r="828">
      <c r="B828" s="24"/>
      <c r="C828" s="24"/>
    </row>
    <row r="829">
      <c r="B829" s="24"/>
      <c r="C829" s="24"/>
    </row>
    <row r="830">
      <c r="B830" s="24"/>
      <c r="C830" s="24"/>
    </row>
    <row r="831">
      <c r="B831" s="24"/>
      <c r="C831" s="24"/>
    </row>
    <row r="832">
      <c r="B832" s="24"/>
      <c r="C832" s="24"/>
    </row>
    <row r="833">
      <c r="B833" s="24"/>
      <c r="C833" s="24"/>
    </row>
    <row r="834">
      <c r="B834" s="24"/>
      <c r="C834" s="24"/>
    </row>
    <row r="835">
      <c r="B835" s="24"/>
      <c r="C835" s="24"/>
    </row>
    <row r="836">
      <c r="B836" s="24"/>
      <c r="C836" s="24"/>
    </row>
    <row r="837">
      <c r="B837" s="24"/>
      <c r="C837" s="24"/>
    </row>
    <row r="838">
      <c r="B838" s="24"/>
      <c r="C838" s="24"/>
    </row>
    <row r="839">
      <c r="B839" s="24"/>
      <c r="C839" s="24"/>
    </row>
    <row r="840">
      <c r="B840" s="24"/>
      <c r="C840" s="24"/>
    </row>
    <row r="841">
      <c r="B841" s="24"/>
      <c r="C841" s="24"/>
    </row>
    <row r="842">
      <c r="B842" s="24"/>
      <c r="C842" s="24"/>
    </row>
    <row r="843">
      <c r="B843" s="24"/>
      <c r="C843" s="24"/>
    </row>
    <row r="844">
      <c r="B844" s="24"/>
      <c r="C844" s="24"/>
    </row>
    <row r="845">
      <c r="B845" s="24"/>
      <c r="C845" s="24"/>
    </row>
    <row r="846">
      <c r="B846" s="24"/>
      <c r="C846" s="24"/>
    </row>
    <row r="847">
      <c r="B847" s="24"/>
      <c r="C847" s="24"/>
    </row>
    <row r="848">
      <c r="B848" s="24"/>
      <c r="C848" s="24"/>
    </row>
    <row r="849">
      <c r="B849" s="24"/>
      <c r="C849" s="24"/>
    </row>
    <row r="850">
      <c r="B850" s="24"/>
      <c r="C850" s="24"/>
    </row>
    <row r="851">
      <c r="B851" s="24"/>
      <c r="C851" s="24"/>
    </row>
    <row r="852">
      <c r="B852" s="24"/>
      <c r="C852" s="24"/>
    </row>
    <row r="853">
      <c r="B853" s="24"/>
      <c r="C853" s="24"/>
    </row>
    <row r="854">
      <c r="B854" s="24"/>
      <c r="C854" s="24"/>
    </row>
    <row r="855">
      <c r="B855" s="24"/>
      <c r="C855" s="24"/>
    </row>
    <row r="856">
      <c r="B856" s="24"/>
      <c r="C856" s="24"/>
    </row>
    <row r="857">
      <c r="B857" s="24"/>
      <c r="C857" s="24"/>
    </row>
    <row r="858">
      <c r="B858" s="24"/>
      <c r="C858" s="24"/>
    </row>
    <row r="859">
      <c r="B859" s="24"/>
      <c r="C859" s="24"/>
    </row>
    <row r="860">
      <c r="B860" s="24"/>
      <c r="C860" s="24"/>
    </row>
    <row r="861">
      <c r="B861" s="24"/>
      <c r="C861" s="24"/>
    </row>
    <row r="862">
      <c r="B862" s="24"/>
      <c r="C862" s="24"/>
    </row>
    <row r="863">
      <c r="B863" s="24"/>
      <c r="C863" s="24"/>
    </row>
    <row r="864">
      <c r="B864" s="24"/>
      <c r="C864" s="24"/>
    </row>
    <row r="865">
      <c r="B865" s="24"/>
      <c r="C865" s="24"/>
    </row>
    <row r="866">
      <c r="B866" s="24"/>
      <c r="C866" s="24"/>
    </row>
    <row r="867">
      <c r="B867" s="24"/>
      <c r="C867" s="24"/>
    </row>
    <row r="868">
      <c r="B868" s="24"/>
      <c r="C868" s="24"/>
    </row>
    <row r="869">
      <c r="B869" s="24"/>
      <c r="C869" s="24"/>
    </row>
    <row r="870">
      <c r="B870" s="24"/>
      <c r="C870" s="24"/>
    </row>
    <row r="871">
      <c r="B871" s="24"/>
      <c r="C871" s="24"/>
    </row>
    <row r="872">
      <c r="B872" s="24"/>
      <c r="C872" s="24"/>
    </row>
    <row r="873">
      <c r="B873" s="24"/>
      <c r="C873" s="24"/>
    </row>
    <row r="874">
      <c r="B874" s="24"/>
      <c r="C874" s="24"/>
    </row>
    <row r="875">
      <c r="B875" s="24"/>
      <c r="C875" s="24"/>
    </row>
    <row r="876">
      <c r="B876" s="24"/>
      <c r="C876" s="24"/>
    </row>
    <row r="877">
      <c r="B877" s="24"/>
      <c r="C877" s="24"/>
    </row>
    <row r="878">
      <c r="B878" s="24"/>
      <c r="C878" s="24"/>
    </row>
    <row r="879">
      <c r="B879" s="24"/>
      <c r="C879" s="24"/>
    </row>
    <row r="880">
      <c r="B880" s="24"/>
      <c r="C880" s="24"/>
    </row>
    <row r="881">
      <c r="B881" s="24"/>
      <c r="C881" s="24"/>
    </row>
    <row r="882">
      <c r="B882" s="24"/>
      <c r="C882" s="24"/>
    </row>
    <row r="883">
      <c r="B883" s="24"/>
      <c r="C883" s="24"/>
    </row>
    <row r="884">
      <c r="B884" s="24"/>
      <c r="C884" s="24"/>
    </row>
    <row r="885">
      <c r="B885" s="24"/>
      <c r="C885" s="24"/>
    </row>
    <row r="886">
      <c r="B886" s="24"/>
      <c r="C886" s="24"/>
    </row>
    <row r="887">
      <c r="B887" s="24"/>
      <c r="C887" s="24"/>
    </row>
    <row r="888">
      <c r="B888" s="24"/>
      <c r="C888" s="24"/>
    </row>
    <row r="889">
      <c r="B889" s="24"/>
      <c r="C889" s="24"/>
    </row>
    <row r="890">
      <c r="B890" s="24"/>
      <c r="C890" s="24"/>
    </row>
    <row r="891">
      <c r="B891" s="24"/>
      <c r="C891" s="24"/>
    </row>
    <row r="892">
      <c r="B892" s="24"/>
      <c r="C892" s="24"/>
    </row>
    <row r="893">
      <c r="B893" s="24"/>
      <c r="C893" s="24"/>
    </row>
    <row r="894">
      <c r="B894" s="24"/>
      <c r="C894" s="24"/>
    </row>
    <row r="895">
      <c r="B895" s="24"/>
      <c r="C895" s="24"/>
    </row>
    <row r="896">
      <c r="B896" s="24"/>
      <c r="C896" s="24"/>
    </row>
    <row r="897">
      <c r="B897" s="24"/>
      <c r="C897" s="24"/>
    </row>
    <row r="898">
      <c r="B898" s="24"/>
      <c r="C898" s="24"/>
    </row>
    <row r="899">
      <c r="B899" s="24"/>
      <c r="C899" s="24"/>
    </row>
    <row r="900">
      <c r="B900" s="24"/>
      <c r="C900" s="24"/>
    </row>
    <row r="901">
      <c r="B901" s="24"/>
      <c r="C901" s="24"/>
    </row>
    <row r="902">
      <c r="B902" s="24"/>
      <c r="C902" s="24"/>
    </row>
    <row r="903">
      <c r="B903" s="24"/>
      <c r="C903" s="24"/>
    </row>
    <row r="904">
      <c r="B904" s="24"/>
      <c r="C904" s="24"/>
    </row>
    <row r="905">
      <c r="B905" s="24"/>
      <c r="C905" s="24"/>
    </row>
    <row r="906">
      <c r="B906" s="24"/>
      <c r="C906" s="24"/>
    </row>
    <row r="907">
      <c r="B907" s="24"/>
      <c r="C907" s="24"/>
    </row>
    <row r="908">
      <c r="B908" s="24"/>
      <c r="C908" s="24"/>
    </row>
    <row r="909">
      <c r="B909" s="24"/>
      <c r="C909" s="24"/>
    </row>
    <row r="910">
      <c r="B910" s="24"/>
      <c r="C910" s="24"/>
    </row>
    <row r="911">
      <c r="B911" s="24"/>
      <c r="C911" s="24"/>
    </row>
    <row r="912">
      <c r="B912" s="24"/>
      <c r="C912" s="24"/>
    </row>
    <row r="913">
      <c r="B913" s="24"/>
      <c r="C913" s="24"/>
    </row>
    <row r="914">
      <c r="B914" s="24"/>
      <c r="C914" s="24"/>
    </row>
    <row r="915">
      <c r="B915" s="24"/>
      <c r="C915" s="24"/>
    </row>
    <row r="916">
      <c r="B916" s="24"/>
      <c r="C916" s="24"/>
    </row>
    <row r="917">
      <c r="B917" s="24"/>
      <c r="C917" s="24"/>
    </row>
    <row r="918">
      <c r="B918" s="24"/>
      <c r="C918" s="24"/>
    </row>
    <row r="919">
      <c r="B919" s="24"/>
      <c r="C919" s="24"/>
    </row>
    <row r="920">
      <c r="B920" s="24"/>
      <c r="C920" s="24"/>
    </row>
    <row r="921">
      <c r="B921" s="24"/>
      <c r="C921" s="24"/>
    </row>
    <row r="922">
      <c r="B922" s="24"/>
      <c r="C922" s="24"/>
    </row>
    <row r="923">
      <c r="B923" s="24"/>
      <c r="C923" s="24"/>
    </row>
    <row r="924">
      <c r="B924" s="24"/>
      <c r="C924" s="24"/>
    </row>
    <row r="925">
      <c r="B925" s="24"/>
      <c r="C925" s="24"/>
    </row>
    <row r="926">
      <c r="B926" s="24"/>
      <c r="C926" s="24"/>
    </row>
    <row r="927">
      <c r="B927" s="24"/>
      <c r="C927" s="24"/>
    </row>
    <row r="928">
      <c r="B928" s="24"/>
      <c r="C928" s="24"/>
    </row>
    <row r="929">
      <c r="B929" s="24"/>
      <c r="C929" s="24"/>
    </row>
    <row r="930">
      <c r="B930" s="24"/>
      <c r="C930" s="24"/>
    </row>
    <row r="931">
      <c r="B931" s="24"/>
      <c r="C931" s="24"/>
    </row>
    <row r="932">
      <c r="B932" s="24"/>
      <c r="C932" s="24"/>
    </row>
    <row r="933">
      <c r="B933" s="24"/>
      <c r="C933" s="24"/>
    </row>
    <row r="934">
      <c r="B934" s="24"/>
      <c r="C934" s="24"/>
    </row>
    <row r="935">
      <c r="B935" s="24"/>
      <c r="C935" s="24"/>
    </row>
    <row r="936">
      <c r="B936" s="24"/>
      <c r="C936" s="24"/>
    </row>
    <row r="937">
      <c r="B937" s="24"/>
      <c r="C937" s="24"/>
    </row>
    <row r="938">
      <c r="B938" s="24"/>
      <c r="C938" s="24"/>
    </row>
    <row r="939">
      <c r="B939" s="24"/>
      <c r="C939" s="24"/>
    </row>
    <row r="940">
      <c r="B940" s="24"/>
      <c r="C940" s="24"/>
    </row>
    <row r="941">
      <c r="B941" s="24"/>
      <c r="C941" s="24"/>
    </row>
    <row r="942">
      <c r="B942" s="24"/>
      <c r="C942" s="24"/>
    </row>
    <row r="943">
      <c r="B943" s="24"/>
      <c r="C943" s="24"/>
    </row>
    <row r="944">
      <c r="B944" s="24"/>
      <c r="C944" s="24"/>
    </row>
    <row r="945">
      <c r="B945" s="24"/>
      <c r="C945" s="24"/>
    </row>
    <row r="946">
      <c r="B946" s="24"/>
      <c r="C946" s="24"/>
    </row>
    <row r="947">
      <c r="B947" s="24"/>
      <c r="C947" s="24"/>
    </row>
    <row r="948">
      <c r="B948" s="24"/>
      <c r="C948" s="24"/>
    </row>
    <row r="949">
      <c r="B949" s="24"/>
      <c r="C949" s="24"/>
    </row>
    <row r="950">
      <c r="B950" s="24"/>
      <c r="C950" s="24"/>
    </row>
    <row r="951">
      <c r="B951" s="24"/>
      <c r="C951" s="24"/>
    </row>
    <row r="952">
      <c r="B952" s="24"/>
      <c r="C952" s="24"/>
    </row>
    <row r="953">
      <c r="B953" s="24"/>
      <c r="C953" s="24"/>
    </row>
    <row r="954">
      <c r="B954" s="24"/>
      <c r="C954" s="24"/>
    </row>
    <row r="955">
      <c r="B955" s="24"/>
      <c r="C955" s="24"/>
    </row>
    <row r="956">
      <c r="B956" s="24"/>
      <c r="C956" s="24"/>
    </row>
    <row r="957">
      <c r="B957" s="24"/>
      <c r="C957" s="24"/>
    </row>
    <row r="958">
      <c r="B958" s="24"/>
      <c r="C958" s="24"/>
    </row>
    <row r="959">
      <c r="B959" s="24"/>
      <c r="C959" s="24"/>
    </row>
    <row r="960">
      <c r="B960" s="24"/>
      <c r="C960" s="24"/>
    </row>
    <row r="961">
      <c r="B961" s="24"/>
      <c r="C961" s="24"/>
    </row>
    <row r="962">
      <c r="B962" s="24"/>
      <c r="C962" s="24"/>
    </row>
    <row r="963">
      <c r="B963" s="24"/>
      <c r="C963" s="24"/>
    </row>
    <row r="964">
      <c r="B964" s="24"/>
      <c r="C964" s="24"/>
    </row>
    <row r="965">
      <c r="B965" s="24"/>
      <c r="C965" s="24"/>
    </row>
    <row r="966">
      <c r="B966" s="24"/>
      <c r="C966" s="24"/>
    </row>
    <row r="967">
      <c r="B967" s="24"/>
      <c r="C967" s="24"/>
    </row>
    <row r="968">
      <c r="B968" s="24"/>
      <c r="C968" s="24"/>
    </row>
    <row r="969">
      <c r="B969" s="24"/>
      <c r="C969" s="24"/>
    </row>
    <row r="970">
      <c r="B970" s="24"/>
      <c r="C970" s="24"/>
    </row>
    <row r="971">
      <c r="B971" s="24"/>
      <c r="C971" s="24"/>
    </row>
    <row r="972">
      <c r="B972" s="24"/>
      <c r="C972" s="24"/>
    </row>
    <row r="973">
      <c r="B973" s="24"/>
      <c r="C973" s="24"/>
    </row>
    <row r="974">
      <c r="B974" s="24"/>
      <c r="C974" s="24"/>
    </row>
    <row r="975">
      <c r="B975" s="24"/>
      <c r="C975" s="24"/>
    </row>
    <row r="976">
      <c r="B976" s="24"/>
      <c r="C976" s="24"/>
    </row>
    <row r="977">
      <c r="B977" s="24"/>
      <c r="C977" s="24"/>
    </row>
    <row r="978">
      <c r="B978" s="24"/>
      <c r="C978" s="24"/>
    </row>
    <row r="979">
      <c r="B979" s="24"/>
      <c r="C979" s="24"/>
    </row>
    <row r="980">
      <c r="B980" s="24"/>
      <c r="C980" s="24"/>
    </row>
    <row r="981">
      <c r="B981" s="24"/>
      <c r="C981" s="24"/>
    </row>
    <row r="982">
      <c r="B982" s="24"/>
      <c r="C982" s="24"/>
    </row>
    <row r="983">
      <c r="B983" s="24"/>
      <c r="C983" s="24"/>
    </row>
    <row r="984">
      <c r="B984" s="24"/>
      <c r="C984" s="24"/>
    </row>
    <row r="985">
      <c r="B985" s="24"/>
      <c r="C985" s="24"/>
    </row>
    <row r="986">
      <c r="B986" s="24"/>
      <c r="C986" s="24"/>
    </row>
    <row r="987">
      <c r="B987" s="24"/>
      <c r="C987" s="24"/>
    </row>
    <row r="988">
      <c r="B988" s="24"/>
      <c r="C988" s="24"/>
    </row>
    <row r="989">
      <c r="B989" s="24"/>
      <c r="C989" s="24"/>
    </row>
    <row r="990">
      <c r="B990" s="24"/>
      <c r="C990" s="24"/>
    </row>
    <row r="991">
      <c r="B991" s="24"/>
      <c r="C991" s="24"/>
    </row>
    <row r="992">
      <c r="B992" s="24"/>
      <c r="C992" s="24"/>
    </row>
    <row r="993">
      <c r="B993" s="24"/>
      <c r="C993" s="24"/>
    </row>
    <row r="994">
      <c r="B994" s="24"/>
      <c r="C994" s="24"/>
    </row>
    <row r="995">
      <c r="B995" s="24"/>
      <c r="C995" s="24"/>
    </row>
    <row r="996">
      <c r="B996" s="24"/>
      <c r="C996" s="24"/>
    </row>
    <row r="997">
      <c r="B997" s="24"/>
      <c r="C997" s="24"/>
    </row>
    <row r="998">
      <c r="B998" s="24"/>
      <c r="C998" s="24"/>
    </row>
    <row r="999">
      <c r="B999" s="24"/>
      <c r="C999" s="24"/>
    </row>
    <row r="1000">
      <c r="B1000" s="24"/>
      <c r="C1000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2" max="2" width="28.0"/>
    <col customWidth="1" min="3" max="3" width="16.0"/>
    <col customWidth="1" min="4" max="4" width="29.5"/>
    <col customWidth="1" min="5" max="5" width="16.13"/>
    <col customWidth="1" min="6" max="6" width="27.25"/>
    <col customWidth="1" min="7" max="7" width="28.5"/>
  </cols>
  <sheetData>
    <row r="1">
      <c r="A1" s="51">
        <v>2023.0</v>
      </c>
      <c r="B1" s="52"/>
      <c r="C1" s="51">
        <v>2024.0</v>
      </c>
      <c r="D1" s="52"/>
      <c r="E1" s="51">
        <v>2025.0</v>
      </c>
      <c r="F1" s="52"/>
      <c r="G1" s="5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4" t="s">
        <v>18</v>
      </c>
      <c r="B2" s="55" t="s">
        <v>38</v>
      </c>
      <c r="C2" s="54" t="s">
        <v>18</v>
      </c>
      <c r="D2" s="55" t="s">
        <v>38</v>
      </c>
      <c r="E2" s="54" t="s">
        <v>18</v>
      </c>
      <c r="F2" s="56" t="s">
        <v>38</v>
      </c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7" t="s">
        <v>102</v>
      </c>
      <c r="B3" s="58">
        <v>15.086863761048447</v>
      </c>
      <c r="C3" s="57" t="s">
        <v>127</v>
      </c>
      <c r="D3" s="58">
        <v>12.404580152671763</v>
      </c>
      <c r="E3" s="57" t="s">
        <v>116</v>
      </c>
      <c r="F3" s="58">
        <v>15.677271236470991</v>
      </c>
      <c r="G3" s="59"/>
    </row>
    <row r="4">
      <c r="A4" s="57" t="s">
        <v>96</v>
      </c>
      <c r="B4" s="58">
        <v>13.519091847265221</v>
      </c>
      <c r="C4" s="57" t="s">
        <v>50</v>
      </c>
      <c r="D4" s="58">
        <v>12.065217391304362</v>
      </c>
      <c r="E4" s="57" t="s">
        <v>50</v>
      </c>
      <c r="F4" s="58">
        <v>12.725286728563637</v>
      </c>
      <c r="G4" s="59"/>
    </row>
    <row r="5">
      <c r="A5" s="57" t="s">
        <v>64</v>
      </c>
      <c r="B5" s="58">
        <v>12.020244622522133</v>
      </c>
      <c r="C5" s="57" t="s">
        <v>96</v>
      </c>
      <c r="D5" s="58">
        <v>11.050608584240882</v>
      </c>
      <c r="E5" s="57" t="s">
        <v>102</v>
      </c>
      <c r="F5" s="58">
        <v>12.224017232094774</v>
      </c>
      <c r="G5" s="59"/>
    </row>
    <row r="6">
      <c r="A6" s="57" t="s">
        <v>127</v>
      </c>
      <c r="B6" s="58">
        <v>11.26938904716682</v>
      </c>
      <c r="C6" s="57" t="s">
        <v>80</v>
      </c>
      <c r="D6" s="58">
        <v>10.266159695817485</v>
      </c>
      <c r="E6" s="57" t="s">
        <v>127</v>
      </c>
      <c r="F6" s="58">
        <v>12.092307692307692</v>
      </c>
      <c r="G6" s="59"/>
    </row>
    <row r="7">
      <c r="A7" s="57" t="s">
        <v>80</v>
      </c>
      <c r="B7" s="58">
        <v>9.636963696369632</v>
      </c>
      <c r="C7" s="57" t="s">
        <v>102</v>
      </c>
      <c r="D7" s="58">
        <v>9.590210586226515</v>
      </c>
      <c r="E7" s="57" t="s">
        <v>56</v>
      </c>
      <c r="F7" s="58">
        <v>11.067580803134195</v>
      </c>
      <c r="G7" s="59"/>
    </row>
    <row r="8">
      <c r="A8" s="57" t="s">
        <v>50</v>
      </c>
      <c r="B8" s="58">
        <v>8.832214765100668</v>
      </c>
      <c r="C8" s="57" t="s">
        <v>121</v>
      </c>
      <c r="D8" s="58">
        <v>8.136394328156651</v>
      </c>
      <c r="E8" s="57" t="s">
        <v>90</v>
      </c>
      <c r="F8" s="58">
        <v>10.556438791732923</v>
      </c>
      <c r="G8" s="59"/>
    </row>
    <row r="9">
      <c r="A9" s="57" t="s">
        <v>90</v>
      </c>
      <c r="B9" s="58">
        <v>8.336100963135165</v>
      </c>
      <c r="C9" s="57" t="s">
        <v>56</v>
      </c>
      <c r="D9" s="58">
        <v>7.793923381770143</v>
      </c>
      <c r="E9" s="57" t="s">
        <v>48</v>
      </c>
      <c r="F9" s="58">
        <v>8.986858838490889</v>
      </c>
      <c r="G9" s="59"/>
    </row>
    <row r="10">
      <c r="A10" s="57" t="s">
        <v>108</v>
      </c>
      <c r="B10" s="58">
        <v>8.037525354969578</v>
      </c>
      <c r="C10" s="57" t="s">
        <v>107</v>
      </c>
      <c r="D10" s="58">
        <v>7.599355531686354</v>
      </c>
      <c r="E10" s="57" t="s">
        <v>121</v>
      </c>
      <c r="F10" s="58">
        <v>7.870370370370368</v>
      </c>
      <c r="G10" s="59"/>
    </row>
    <row r="11">
      <c r="A11" s="57" t="s">
        <v>107</v>
      </c>
      <c r="B11" s="58">
        <v>7.896857373086235</v>
      </c>
      <c r="C11" s="57" t="s">
        <v>42</v>
      </c>
      <c r="D11" s="58">
        <v>7.500000000000003</v>
      </c>
      <c r="E11" s="57" t="s">
        <v>107</v>
      </c>
      <c r="F11" s="58">
        <v>7.765451664025351</v>
      </c>
      <c r="G11" s="59"/>
    </row>
    <row r="12">
      <c r="A12" s="57" t="s">
        <v>121</v>
      </c>
      <c r="B12" s="58">
        <v>7.31034482758621</v>
      </c>
      <c r="C12" s="57" t="s">
        <v>48</v>
      </c>
      <c r="D12" s="58">
        <v>6.9444444444444375</v>
      </c>
      <c r="E12" s="15" t="s">
        <v>115</v>
      </c>
      <c r="F12" s="58">
        <v>7.217473884140543</v>
      </c>
      <c r="G12" s="59"/>
    </row>
    <row r="13">
      <c r="A13" s="60"/>
      <c r="B13" s="61"/>
      <c r="C13" s="60"/>
      <c r="D13" s="61"/>
      <c r="E13" s="60"/>
      <c r="F13" s="61"/>
    </row>
    <row r="14">
      <c r="B14" s="24"/>
      <c r="D14" s="24"/>
      <c r="F14" s="24"/>
    </row>
    <row r="15">
      <c r="B15" s="24"/>
      <c r="D15" s="24"/>
      <c r="F15" s="24"/>
    </row>
    <row r="16">
      <c r="B16" s="24"/>
      <c r="D16" s="24"/>
      <c r="F16" s="24"/>
    </row>
    <row r="17">
      <c r="B17" s="24"/>
      <c r="D17" s="24"/>
      <c r="F17" s="24"/>
    </row>
    <row r="18">
      <c r="B18" s="24"/>
      <c r="D18" s="24"/>
      <c r="F18" s="24"/>
    </row>
    <row r="19">
      <c r="B19" s="24"/>
      <c r="D19" s="24"/>
      <c r="F19" s="24"/>
    </row>
    <row r="20">
      <c r="B20" s="24"/>
      <c r="D20" s="24"/>
      <c r="F20" s="24"/>
    </row>
    <row r="21">
      <c r="B21" s="24"/>
      <c r="D21" s="24"/>
      <c r="F21" s="24"/>
    </row>
    <row r="22">
      <c r="B22" s="24"/>
      <c r="D22" s="24"/>
      <c r="F22" s="24"/>
    </row>
    <row r="23">
      <c r="B23" s="24"/>
      <c r="D23" s="24"/>
      <c r="F23" s="24"/>
    </row>
    <row r="24">
      <c r="B24" s="24"/>
      <c r="D24" s="24"/>
      <c r="F24" s="24"/>
    </row>
    <row r="25">
      <c r="B25" s="24"/>
      <c r="D25" s="24"/>
      <c r="F25" s="24"/>
    </row>
    <row r="26">
      <c r="B26" s="24"/>
      <c r="D26" s="24"/>
      <c r="F26" s="24"/>
    </row>
    <row r="27">
      <c r="B27" s="24"/>
      <c r="D27" s="24"/>
      <c r="F27" s="24"/>
    </row>
    <row r="28">
      <c r="B28" s="24"/>
      <c r="D28" s="24"/>
      <c r="F28" s="24"/>
    </row>
    <row r="29">
      <c r="B29" s="24"/>
      <c r="D29" s="24"/>
      <c r="F29" s="24"/>
    </row>
    <row r="30">
      <c r="B30" s="24"/>
      <c r="D30" s="24"/>
      <c r="F30" s="24"/>
    </row>
    <row r="31">
      <c r="B31" s="24"/>
      <c r="D31" s="24"/>
      <c r="F31" s="24"/>
    </row>
    <row r="32">
      <c r="B32" s="24"/>
      <c r="D32" s="24"/>
      <c r="F32" s="24"/>
    </row>
    <row r="33">
      <c r="B33" s="24"/>
      <c r="D33" s="24"/>
      <c r="F33" s="24"/>
    </row>
    <row r="34">
      <c r="B34" s="24"/>
      <c r="D34" s="24"/>
      <c r="F34" s="24"/>
    </row>
    <row r="35">
      <c r="B35" s="24"/>
      <c r="D35" s="24"/>
      <c r="F35" s="24"/>
    </row>
    <row r="36">
      <c r="B36" s="24"/>
      <c r="D36" s="24"/>
      <c r="F36" s="24"/>
    </row>
    <row r="37">
      <c r="B37" s="24"/>
      <c r="D37" s="24"/>
      <c r="F37" s="24"/>
    </row>
    <row r="38">
      <c r="B38" s="24"/>
      <c r="D38" s="24"/>
      <c r="F38" s="24"/>
    </row>
    <row r="39">
      <c r="B39" s="24"/>
      <c r="D39" s="24"/>
      <c r="F39" s="24"/>
    </row>
    <row r="40">
      <c r="B40" s="24"/>
      <c r="D40" s="24"/>
      <c r="F40" s="24"/>
    </row>
    <row r="41">
      <c r="B41" s="24"/>
      <c r="D41" s="24"/>
      <c r="F41" s="24"/>
    </row>
    <row r="42">
      <c r="B42" s="24"/>
      <c r="D42" s="24"/>
      <c r="F42" s="24"/>
    </row>
    <row r="43">
      <c r="B43" s="24"/>
      <c r="D43" s="24"/>
      <c r="F43" s="24"/>
    </row>
    <row r="44">
      <c r="B44" s="24"/>
      <c r="D44" s="24"/>
      <c r="F44" s="24"/>
    </row>
    <row r="45">
      <c r="B45" s="24"/>
      <c r="D45" s="24"/>
      <c r="F45" s="24"/>
    </row>
    <row r="46">
      <c r="B46" s="24"/>
      <c r="D46" s="24"/>
      <c r="F46" s="24"/>
    </row>
    <row r="47">
      <c r="B47" s="24"/>
      <c r="D47" s="24"/>
      <c r="F47" s="24"/>
    </row>
    <row r="48">
      <c r="B48" s="24"/>
      <c r="D48" s="24"/>
      <c r="F48" s="24"/>
    </row>
    <row r="49">
      <c r="B49" s="24"/>
      <c r="D49" s="24"/>
      <c r="F49" s="24"/>
    </row>
    <row r="50">
      <c r="B50" s="24"/>
      <c r="D50" s="24"/>
      <c r="F50" s="24"/>
    </row>
    <row r="51">
      <c r="B51" s="24"/>
      <c r="D51" s="24"/>
      <c r="F51" s="24"/>
    </row>
    <row r="52">
      <c r="B52" s="24"/>
      <c r="D52" s="24"/>
      <c r="F52" s="24"/>
    </row>
    <row r="53">
      <c r="B53" s="24"/>
      <c r="D53" s="24"/>
      <c r="F53" s="24"/>
    </row>
    <row r="54">
      <c r="B54" s="24"/>
      <c r="D54" s="24"/>
      <c r="F54" s="24"/>
    </row>
    <row r="55">
      <c r="B55" s="24"/>
      <c r="D55" s="24"/>
      <c r="F55" s="24"/>
    </row>
    <row r="56">
      <c r="B56" s="24"/>
      <c r="D56" s="24"/>
      <c r="F56" s="24"/>
    </row>
    <row r="57">
      <c r="B57" s="24"/>
      <c r="D57" s="24"/>
      <c r="F57" s="24"/>
    </row>
    <row r="58">
      <c r="B58" s="24"/>
      <c r="D58" s="24"/>
      <c r="F58" s="24"/>
    </row>
    <row r="59">
      <c r="B59" s="24"/>
      <c r="D59" s="24"/>
      <c r="F59" s="24"/>
    </row>
    <row r="60">
      <c r="B60" s="24"/>
      <c r="D60" s="24"/>
      <c r="F60" s="24"/>
    </row>
    <row r="61">
      <c r="B61" s="24"/>
      <c r="D61" s="24"/>
      <c r="F61" s="24"/>
    </row>
    <row r="62">
      <c r="B62" s="24"/>
      <c r="D62" s="24"/>
      <c r="F62" s="24"/>
    </row>
    <row r="63">
      <c r="B63" s="24"/>
      <c r="D63" s="24"/>
      <c r="F63" s="24"/>
    </row>
    <row r="64">
      <c r="B64" s="24"/>
      <c r="D64" s="24"/>
      <c r="F64" s="24"/>
    </row>
    <row r="65">
      <c r="B65" s="24"/>
      <c r="D65" s="24"/>
      <c r="F65" s="24"/>
    </row>
    <row r="66">
      <c r="B66" s="24"/>
      <c r="D66" s="24"/>
      <c r="F66" s="24"/>
    </row>
    <row r="67">
      <c r="B67" s="24"/>
      <c r="D67" s="24"/>
      <c r="F67" s="24"/>
    </row>
    <row r="68">
      <c r="B68" s="24"/>
      <c r="D68" s="24"/>
      <c r="F68" s="24"/>
    </row>
    <row r="69">
      <c r="B69" s="24"/>
      <c r="D69" s="24"/>
      <c r="F69" s="24"/>
    </row>
    <row r="70">
      <c r="B70" s="24"/>
      <c r="D70" s="24"/>
      <c r="F70" s="24"/>
    </row>
    <row r="71">
      <c r="B71" s="24"/>
      <c r="D71" s="24"/>
      <c r="F71" s="24"/>
    </row>
    <row r="72">
      <c r="B72" s="24"/>
      <c r="D72" s="24"/>
      <c r="F72" s="24"/>
    </row>
    <row r="73">
      <c r="B73" s="24"/>
      <c r="D73" s="24"/>
      <c r="F73" s="24"/>
    </row>
    <row r="74">
      <c r="B74" s="24"/>
      <c r="D74" s="24"/>
      <c r="F74" s="24"/>
    </row>
    <row r="75">
      <c r="B75" s="24"/>
      <c r="D75" s="24"/>
      <c r="F75" s="24"/>
    </row>
    <row r="76">
      <c r="B76" s="24"/>
      <c r="D76" s="24"/>
      <c r="F76" s="24"/>
    </row>
    <row r="77">
      <c r="B77" s="24"/>
      <c r="D77" s="24"/>
      <c r="F77" s="24"/>
    </row>
    <row r="78">
      <c r="B78" s="24"/>
      <c r="D78" s="24"/>
      <c r="F78" s="24"/>
    </row>
    <row r="79">
      <c r="B79" s="24"/>
      <c r="D79" s="24"/>
      <c r="F79" s="24"/>
    </row>
    <row r="80">
      <c r="B80" s="24"/>
      <c r="D80" s="24"/>
      <c r="F80" s="24"/>
    </row>
    <row r="81">
      <c r="B81" s="24"/>
      <c r="D81" s="24"/>
      <c r="F81" s="24"/>
    </row>
    <row r="82">
      <c r="B82" s="24"/>
      <c r="D82" s="24"/>
      <c r="F82" s="24"/>
    </row>
    <row r="83">
      <c r="B83" s="24"/>
      <c r="D83" s="24"/>
      <c r="F83" s="24"/>
    </row>
    <row r="84">
      <c r="B84" s="24"/>
      <c r="D84" s="24"/>
      <c r="F84" s="24"/>
    </row>
    <row r="85">
      <c r="B85" s="24"/>
      <c r="D85" s="24"/>
      <c r="F85" s="24"/>
    </row>
    <row r="86">
      <c r="B86" s="24"/>
      <c r="D86" s="24"/>
      <c r="F86" s="24"/>
    </row>
    <row r="87">
      <c r="B87" s="24"/>
      <c r="D87" s="24"/>
      <c r="F87" s="24"/>
    </row>
    <row r="88">
      <c r="B88" s="24"/>
      <c r="D88" s="24"/>
      <c r="F88" s="24"/>
    </row>
    <row r="89">
      <c r="B89" s="24"/>
      <c r="D89" s="24"/>
      <c r="F89" s="24"/>
    </row>
    <row r="90">
      <c r="B90" s="24"/>
      <c r="D90" s="24"/>
      <c r="F90" s="24"/>
    </row>
    <row r="91">
      <c r="B91" s="24"/>
      <c r="D91" s="24"/>
      <c r="F91" s="24"/>
    </row>
    <row r="92">
      <c r="B92" s="24"/>
      <c r="D92" s="24"/>
      <c r="F92" s="24"/>
    </row>
    <row r="93">
      <c r="B93" s="24"/>
      <c r="D93" s="24"/>
      <c r="F93" s="24"/>
    </row>
    <row r="94">
      <c r="B94" s="24"/>
      <c r="D94" s="24"/>
      <c r="F94" s="24"/>
    </row>
    <row r="95">
      <c r="B95" s="24"/>
      <c r="D95" s="24"/>
      <c r="F95" s="24"/>
    </row>
    <row r="96">
      <c r="B96" s="24"/>
      <c r="D96" s="24"/>
      <c r="F96" s="24"/>
    </row>
    <row r="97">
      <c r="B97" s="24"/>
      <c r="D97" s="24"/>
      <c r="F97" s="24"/>
    </row>
    <row r="98">
      <c r="B98" s="24"/>
      <c r="D98" s="24"/>
      <c r="F98" s="24"/>
    </row>
    <row r="99">
      <c r="B99" s="24"/>
      <c r="D99" s="24"/>
      <c r="F99" s="24"/>
    </row>
    <row r="100">
      <c r="B100" s="24"/>
      <c r="D100" s="24"/>
      <c r="F100" s="24"/>
    </row>
    <row r="101">
      <c r="B101" s="24"/>
      <c r="D101" s="24"/>
      <c r="F101" s="24"/>
    </row>
    <row r="102">
      <c r="B102" s="24"/>
      <c r="D102" s="24"/>
      <c r="F102" s="24"/>
    </row>
    <row r="103">
      <c r="B103" s="24"/>
      <c r="D103" s="24"/>
      <c r="F103" s="24"/>
    </row>
    <row r="104">
      <c r="B104" s="24"/>
      <c r="D104" s="24"/>
      <c r="F104" s="24"/>
    </row>
    <row r="105">
      <c r="B105" s="24"/>
      <c r="D105" s="24"/>
      <c r="F105" s="24"/>
    </row>
    <row r="106">
      <c r="B106" s="24"/>
      <c r="D106" s="24"/>
      <c r="F106" s="24"/>
    </row>
    <row r="107">
      <c r="B107" s="24"/>
      <c r="D107" s="24"/>
      <c r="F107" s="24"/>
    </row>
    <row r="108">
      <c r="B108" s="24"/>
      <c r="D108" s="24"/>
      <c r="F108" s="24"/>
    </row>
    <row r="109">
      <c r="B109" s="24"/>
      <c r="D109" s="24"/>
      <c r="F109" s="24"/>
    </row>
    <row r="110">
      <c r="B110" s="24"/>
      <c r="D110" s="24"/>
      <c r="F110" s="24"/>
    </row>
    <row r="111">
      <c r="B111" s="24"/>
      <c r="D111" s="24"/>
      <c r="F111" s="24"/>
    </row>
    <row r="112">
      <c r="B112" s="24"/>
      <c r="D112" s="24"/>
      <c r="F112" s="24"/>
    </row>
    <row r="113">
      <c r="B113" s="24"/>
      <c r="D113" s="24"/>
      <c r="F113" s="24"/>
    </row>
    <row r="114">
      <c r="B114" s="24"/>
      <c r="D114" s="24"/>
      <c r="F114" s="24"/>
    </row>
    <row r="115">
      <c r="B115" s="24"/>
      <c r="D115" s="24"/>
      <c r="F115" s="24"/>
    </row>
    <row r="116">
      <c r="B116" s="24"/>
      <c r="D116" s="24"/>
      <c r="F116" s="24"/>
    </row>
    <row r="117">
      <c r="B117" s="24"/>
      <c r="D117" s="24"/>
      <c r="F117" s="24"/>
    </row>
    <row r="118">
      <c r="B118" s="24"/>
      <c r="D118" s="24"/>
      <c r="F118" s="24"/>
    </row>
    <row r="119">
      <c r="B119" s="24"/>
      <c r="D119" s="24"/>
      <c r="F119" s="24"/>
    </row>
    <row r="120">
      <c r="B120" s="24"/>
      <c r="D120" s="24"/>
      <c r="F120" s="24"/>
    </row>
    <row r="121">
      <c r="B121" s="24"/>
      <c r="D121" s="24"/>
      <c r="F121" s="24"/>
    </row>
    <row r="122">
      <c r="B122" s="24"/>
      <c r="D122" s="24"/>
      <c r="F122" s="24"/>
    </row>
    <row r="123">
      <c r="B123" s="24"/>
      <c r="D123" s="24"/>
      <c r="F123" s="24"/>
    </row>
    <row r="124">
      <c r="B124" s="24"/>
      <c r="D124" s="24"/>
      <c r="F124" s="24"/>
    </row>
    <row r="125">
      <c r="B125" s="24"/>
      <c r="D125" s="24"/>
      <c r="F125" s="24"/>
    </row>
    <row r="126">
      <c r="B126" s="24"/>
      <c r="D126" s="24"/>
      <c r="F126" s="24"/>
    </row>
    <row r="127">
      <c r="B127" s="24"/>
      <c r="D127" s="24"/>
      <c r="F127" s="24"/>
    </row>
    <row r="128">
      <c r="B128" s="24"/>
      <c r="D128" s="24"/>
      <c r="F128" s="24"/>
    </row>
    <row r="129">
      <c r="B129" s="24"/>
      <c r="D129" s="24"/>
      <c r="F129" s="24"/>
    </row>
    <row r="130">
      <c r="B130" s="24"/>
      <c r="D130" s="24"/>
      <c r="F130" s="24"/>
    </row>
    <row r="131">
      <c r="B131" s="24"/>
      <c r="D131" s="24"/>
      <c r="F131" s="24"/>
    </row>
    <row r="132">
      <c r="B132" s="24"/>
      <c r="D132" s="24"/>
      <c r="F132" s="24"/>
    </row>
    <row r="133">
      <c r="B133" s="24"/>
      <c r="D133" s="24"/>
      <c r="F133" s="24"/>
    </row>
    <row r="134">
      <c r="B134" s="24"/>
      <c r="D134" s="24"/>
      <c r="F134" s="24"/>
    </row>
    <row r="135">
      <c r="B135" s="24"/>
      <c r="D135" s="24"/>
      <c r="F135" s="24"/>
    </row>
    <row r="136">
      <c r="B136" s="24"/>
      <c r="D136" s="24"/>
      <c r="F136" s="24"/>
    </row>
    <row r="137">
      <c r="B137" s="24"/>
      <c r="D137" s="24"/>
      <c r="F137" s="24"/>
    </row>
    <row r="138">
      <c r="B138" s="24"/>
      <c r="D138" s="24"/>
      <c r="F138" s="24"/>
    </row>
    <row r="139">
      <c r="B139" s="24"/>
      <c r="D139" s="24"/>
      <c r="F139" s="24"/>
    </row>
    <row r="140">
      <c r="B140" s="24"/>
      <c r="D140" s="24"/>
      <c r="F140" s="24"/>
    </row>
    <row r="141">
      <c r="B141" s="24"/>
      <c r="D141" s="24"/>
      <c r="F141" s="24"/>
    </row>
    <row r="142">
      <c r="B142" s="24"/>
      <c r="D142" s="24"/>
      <c r="F142" s="24"/>
    </row>
    <row r="143">
      <c r="B143" s="24"/>
      <c r="D143" s="24"/>
      <c r="F143" s="24"/>
    </row>
    <row r="144">
      <c r="B144" s="24"/>
      <c r="D144" s="24"/>
      <c r="F144" s="24"/>
    </row>
    <row r="145">
      <c r="B145" s="24"/>
      <c r="D145" s="24"/>
      <c r="F145" s="24"/>
    </row>
    <row r="146">
      <c r="B146" s="24"/>
      <c r="D146" s="24"/>
      <c r="F146" s="24"/>
    </row>
    <row r="147">
      <c r="B147" s="24"/>
      <c r="D147" s="24"/>
      <c r="F147" s="24"/>
    </row>
    <row r="148">
      <c r="B148" s="24"/>
      <c r="D148" s="24"/>
      <c r="F148" s="24"/>
    </row>
    <row r="149">
      <c r="B149" s="24"/>
      <c r="D149" s="24"/>
      <c r="F149" s="24"/>
    </row>
    <row r="150">
      <c r="B150" s="24"/>
      <c r="D150" s="24"/>
      <c r="F150" s="24"/>
    </row>
    <row r="151">
      <c r="B151" s="24"/>
      <c r="D151" s="24"/>
      <c r="F151" s="24"/>
    </row>
    <row r="152">
      <c r="B152" s="24"/>
      <c r="D152" s="24"/>
      <c r="F152" s="24"/>
    </row>
    <row r="153">
      <c r="B153" s="24"/>
      <c r="D153" s="24"/>
      <c r="F153" s="24"/>
    </row>
    <row r="154">
      <c r="B154" s="24"/>
      <c r="D154" s="24"/>
      <c r="F154" s="24"/>
    </row>
    <row r="155">
      <c r="B155" s="24"/>
      <c r="D155" s="24"/>
      <c r="F155" s="24"/>
    </row>
    <row r="156">
      <c r="B156" s="24"/>
      <c r="D156" s="24"/>
      <c r="F156" s="24"/>
    </row>
    <row r="157">
      <c r="B157" s="24"/>
      <c r="D157" s="24"/>
      <c r="F157" s="24"/>
    </row>
    <row r="158">
      <c r="B158" s="24"/>
      <c r="D158" s="24"/>
      <c r="F158" s="24"/>
    </row>
    <row r="159">
      <c r="B159" s="24"/>
      <c r="D159" s="24"/>
      <c r="F159" s="24"/>
    </row>
    <row r="160">
      <c r="B160" s="24"/>
      <c r="D160" s="24"/>
      <c r="F160" s="24"/>
    </row>
    <row r="161">
      <c r="B161" s="24"/>
      <c r="D161" s="24"/>
      <c r="F161" s="24"/>
    </row>
    <row r="162">
      <c r="B162" s="24"/>
      <c r="D162" s="24"/>
      <c r="F162" s="24"/>
    </row>
    <row r="163">
      <c r="B163" s="24"/>
      <c r="D163" s="24"/>
      <c r="F163" s="24"/>
    </row>
    <row r="164">
      <c r="B164" s="24"/>
      <c r="D164" s="24"/>
      <c r="F164" s="24"/>
    </row>
    <row r="165">
      <c r="B165" s="24"/>
      <c r="D165" s="24"/>
      <c r="F165" s="24"/>
    </row>
    <row r="166">
      <c r="B166" s="24"/>
      <c r="D166" s="24"/>
      <c r="F166" s="24"/>
    </row>
    <row r="167">
      <c r="B167" s="24"/>
      <c r="D167" s="24"/>
      <c r="F167" s="24"/>
    </row>
    <row r="168">
      <c r="B168" s="24"/>
      <c r="D168" s="24"/>
      <c r="F168" s="24"/>
    </row>
    <row r="169">
      <c r="B169" s="24"/>
      <c r="D169" s="24"/>
      <c r="F169" s="24"/>
    </row>
    <row r="170">
      <c r="B170" s="24"/>
      <c r="D170" s="24"/>
      <c r="F170" s="24"/>
    </row>
    <row r="171">
      <c r="B171" s="24"/>
      <c r="D171" s="24"/>
      <c r="F171" s="24"/>
    </row>
    <row r="172">
      <c r="B172" s="24"/>
      <c r="D172" s="24"/>
      <c r="F172" s="24"/>
    </row>
    <row r="173">
      <c r="B173" s="24"/>
      <c r="D173" s="24"/>
      <c r="F173" s="24"/>
    </row>
    <row r="174">
      <c r="B174" s="24"/>
      <c r="D174" s="24"/>
      <c r="F174" s="24"/>
    </row>
    <row r="175">
      <c r="B175" s="24"/>
      <c r="D175" s="24"/>
      <c r="F175" s="24"/>
    </row>
    <row r="176">
      <c r="B176" s="24"/>
      <c r="D176" s="24"/>
      <c r="F176" s="24"/>
    </row>
    <row r="177">
      <c r="B177" s="24"/>
      <c r="D177" s="24"/>
      <c r="F177" s="24"/>
    </row>
    <row r="178">
      <c r="B178" s="24"/>
      <c r="D178" s="24"/>
      <c r="F178" s="24"/>
    </row>
    <row r="179">
      <c r="B179" s="24"/>
      <c r="D179" s="24"/>
      <c r="F179" s="24"/>
    </row>
    <row r="180">
      <c r="B180" s="24"/>
      <c r="D180" s="24"/>
      <c r="F180" s="24"/>
    </row>
    <row r="181">
      <c r="B181" s="24"/>
      <c r="D181" s="24"/>
      <c r="F181" s="24"/>
    </row>
    <row r="182">
      <c r="B182" s="24"/>
      <c r="D182" s="24"/>
      <c r="F182" s="24"/>
    </row>
    <row r="183">
      <c r="B183" s="24"/>
      <c r="D183" s="24"/>
      <c r="F183" s="24"/>
    </row>
    <row r="184">
      <c r="B184" s="24"/>
      <c r="D184" s="24"/>
      <c r="F184" s="24"/>
    </row>
    <row r="185">
      <c r="B185" s="24"/>
      <c r="D185" s="24"/>
      <c r="F185" s="24"/>
    </row>
    <row r="186">
      <c r="B186" s="24"/>
      <c r="D186" s="24"/>
      <c r="F186" s="24"/>
    </row>
    <row r="187">
      <c r="B187" s="24"/>
      <c r="D187" s="24"/>
      <c r="F187" s="24"/>
    </row>
    <row r="188">
      <c r="B188" s="24"/>
      <c r="D188" s="24"/>
      <c r="F188" s="24"/>
    </row>
    <row r="189">
      <c r="B189" s="24"/>
      <c r="D189" s="24"/>
      <c r="F189" s="24"/>
    </row>
    <row r="190">
      <c r="B190" s="24"/>
      <c r="D190" s="24"/>
      <c r="F190" s="24"/>
    </row>
    <row r="191">
      <c r="B191" s="24"/>
      <c r="D191" s="24"/>
      <c r="F191" s="24"/>
    </row>
    <row r="192">
      <c r="B192" s="24"/>
      <c r="D192" s="24"/>
      <c r="F192" s="24"/>
    </row>
    <row r="193">
      <c r="B193" s="24"/>
      <c r="D193" s="24"/>
      <c r="F193" s="24"/>
    </row>
    <row r="194">
      <c r="B194" s="24"/>
      <c r="D194" s="24"/>
      <c r="F194" s="24"/>
    </row>
    <row r="195">
      <c r="B195" s="24"/>
      <c r="D195" s="24"/>
      <c r="F195" s="24"/>
    </row>
    <row r="196">
      <c r="B196" s="24"/>
      <c r="D196" s="24"/>
      <c r="F196" s="24"/>
    </row>
    <row r="197">
      <c r="B197" s="24"/>
      <c r="D197" s="24"/>
      <c r="F197" s="24"/>
    </row>
    <row r="198">
      <c r="B198" s="24"/>
      <c r="D198" s="24"/>
      <c r="F198" s="24"/>
    </row>
    <row r="199">
      <c r="B199" s="24"/>
      <c r="D199" s="24"/>
      <c r="F199" s="24"/>
    </row>
    <row r="200">
      <c r="B200" s="24"/>
      <c r="D200" s="24"/>
      <c r="F200" s="24"/>
    </row>
    <row r="201">
      <c r="B201" s="24"/>
      <c r="D201" s="24"/>
      <c r="F201" s="24"/>
    </row>
    <row r="202">
      <c r="B202" s="24"/>
      <c r="D202" s="24"/>
      <c r="F202" s="24"/>
    </row>
    <row r="203">
      <c r="B203" s="24"/>
      <c r="D203" s="24"/>
      <c r="F203" s="24"/>
    </row>
    <row r="204">
      <c r="B204" s="24"/>
      <c r="D204" s="24"/>
      <c r="F204" s="24"/>
    </row>
    <row r="205">
      <c r="B205" s="24"/>
      <c r="D205" s="24"/>
      <c r="F205" s="24"/>
    </row>
    <row r="206">
      <c r="B206" s="24"/>
      <c r="D206" s="24"/>
      <c r="F206" s="24"/>
    </row>
    <row r="207">
      <c r="B207" s="24"/>
      <c r="D207" s="24"/>
      <c r="F207" s="24"/>
    </row>
    <row r="208">
      <c r="B208" s="24"/>
      <c r="D208" s="24"/>
      <c r="F208" s="24"/>
    </row>
    <row r="209">
      <c r="B209" s="24"/>
      <c r="D209" s="24"/>
      <c r="F209" s="24"/>
    </row>
    <row r="210">
      <c r="B210" s="24"/>
      <c r="D210" s="24"/>
      <c r="F210" s="24"/>
    </row>
    <row r="211">
      <c r="B211" s="24"/>
      <c r="D211" s="24"/>
      <c r="F211" s="24"/>
    </row>
    <row r="212">
      <c r="B212" s="24"/>
      <c r="D212" s="24"/>
      <c r="F212" s="24"/>
    </row>
    <row r="213">
      <c r="B213" s="24"/>
      <c r="D213" s="24"/>
      <c r="F213" s="24"/>
    </row>
    <row r="214">
      <c r="B214" s="24"/>
      <c r="D214" s="24"/>
      <c r="F214" s="24"/>
    </row>
    <row r="215">
      <c r="B215" s="24"/>
      <c r="D215" s="24"/>
      <c r="F215" s="24"/>
    </row>
    <row r="216">
      <c r="B216" s="24"/>
      <c r="D216" s="24"/>
      <c r="F216" s="24"/>
    </row>
    <row r="217">
      <c r="B217" s="24"/>
      <c r="D217" s="24"/>
      <c r="F217" s="24"/>
    </row>
    <row r="218">
      <c r="B218" s="24"/>
      <c r="D218" s="24"/>
      <c r="F218" s="24"/>
    </row>
    <row r="219">
      <c r="B219" s="24"/>
      <c r="D219" s="24"/>
      <c r="F219" s="24"/>
    </row>
    <row r="220">
      <c r="B220" s="24"/>
      <c r="D220" s="24"/>
      <c r="F220" s="24"/>
    </row>
    <row r="221">
      <c r="B221" s="24"/>
      <c r="D221" s="24"/>
      <c r="F221" s="24"/>
    </row>
    <row r="222">
      <c r="B222" s="24"/>
      <c r="D222" s="24"/>
      <c r="F222" s="24"/>
    </row>
    <row r="223">
      <c r="B223" s="24"/>
      <c r="D223" s="24"/>
      <c r="F223" s="24"/>
    </row>
    <row r="224">
      <c r="B224" s="24"/>
      <c r="D224" s="24"/>
      <c r="F224" s="24"/>
    </row>
    <row r="225">
      <c r="B225" s="24"/>
      <c r="D225" s="24"/>
      <c r="F225" s="24"/>
    </row>
    <row r="226">
      <c r="B226" s="24"/>
      <c r="D226" s="24"/>
      <c r="F226" s="24"/>
    </row>
    <row r="227">
      <c r="B227" s="24"/>
      <c r="D227" s="24"/>
      <c r="F227" s="24"/>
    </row>
    <row r="228">
      <c r="B228" s="24"/>
      <c r="D228" s="24"/>
      <c r="F228" s="24"/>
    </row>
    <row r="229">
      <c r="B229" s="24"/>
      <c r="D229" s="24"/>
      <c r="F229" s="24"/>
    </row>
    <row r="230">
      <c r="B230" s="24"/>
      <c r="D230" s="24"/>
      <c r="F230" s="24"/>
    </row>
    <row r="231">
      <c r="B231" s="24"/>
      <c r="D231" s="24"/>
      <c r="F231" s="24"/>
    </row>
    <row r="232">
      <c r="B232" s="24"/>
      <c r="D232" s="24"/>
      <c r="F232" s="24"/>
    </row>
    <row r="233">
      <c r="B233" s="24"/>
      <c r="D233" s="24"/>
      <c r="F233" s="24"/>
    </row>
    <row r="234">
      <c r="B234" s="24"/>
      <c r="D234" s="24"/>
      <c r="F234" s="24"/>
    </row>
    <row r="235">
      <c r="B235" s="24"/>
      <c r="D235" s="24"/>
      <c r="F235" s="24"/>
    </row>
    <row r="236">
      <c r="B236" s="24"/>
      <c r="D236" s="24"/>
      <c r="F236" s="24"/>
    </row>
    <row r="237">
      <c r="B237" s="24"/>
      <c r="D237" s="24"/>
      <c r="F237" s="24"/>
    </row>
    <row r="238">
      <c r="B238" s="24"/>
      <c r="D238" s="24"/>
      <c r="F238" s="24"/>
    </row>
    <row r="239">
      <c r="B239" s="24"/>
      <c r="D239" s="24"/>
      <c r="F239" s="24"/>
    </row>
    <row r="240">
      <c r="B240" s="24"/>
      <c r="D240" s="24"/>
      <c r="F240" s="24"/>
    </row>
    <row r="241">
      <c r="B241" s="24"/>
      <c r="D241" s="24"/>
      <c r="F241" s="24"/>
    </row>
    <row r="242">
      <c r="B242" s="24"/>
      <c r="D242" s="24"/>
      <c r="F242" s="24"/>
    </row>
    <row r="243">
      <c r="B243" s="24"/>
      <c r="D243" s="24"/>
      <c r="F243" s="24"/>
    </row>
    <row r="244">
      <c r="B244" s="24"/>
      <c r="D244" s="24"/>
      <c r="F244" s="24"/>
    </row>
    <row r="245">
      <c r="B245" s="24"/>
      <c r="D245" s="24"/>
      <c r="F245" s="24"/>
    </row>
    <row r="246">
      <c r="B246" s="24"/>
      <c r="D246" s="24"/>
      <c r="F246" s="24"/>
    </row>
    <row r="247">
      <c r="B247" s="24"/>
      <c r="D247" s="24"/>
      <c r="F247" s="24"/>
    </row>
    <row r="248">
      <c r="B248" s="24"/>
      <c r="D248" s="24"/>
      <c r="F248" s="24"/>
    </row>
    <row r="249">
      <c r="B249" s="24"/>
      <c r="D249" s="24"/>
      <c r="F249" s="24"/>
    </row>
    <row r="250">
      <c r="B250" s="24"/>
      <c r="D250" s="24"/>
      <c r="F250" s="24"/>
    </row>
    <row r="251">
      <c r="B251" s="24"/>
      <c r="D251" s="24"/>
      <c r="F251" s="24"/>
    </row>
    <row r="252">
      <c r="B252" s="24"/>
      <c r="D252" s="24"/>
      <c r="F252" s="24"/>
    </row>
    <row r="253">
      <c r="B253" s="24"/>
      <c r="D253" s="24"/>
      <c r="F253" s="24"/>
    </row>
    <row r="254">
      <c r="B254" s="24"/>
      <c r="D254" s="24"/>
      <c r="F254" s="24"/>
    </row>
    <row r="255">
      <c r="B255" s="24"/>
      <c r="D255" s="24"/>
      <c r="F255" s="24"/>
    </row>
    <row r="256">
      <c r="B256" s="24"/>
      <c r="D256" s="24"/>
      <c r="F256" s="24"/>
    </row>
    <row r="257">
      <c r="B257" s="24"/>
      <c r="D257" s="24"/>
      <c r="F257" s="24"/>
    </row>
    <row r="258">
      <c r="B258" s="24"/>
      <c r="D258" s="24"/>
      <c r="F258" s="24"/>
    </row>
    <row r="259">
      <c r="B259" s="24"/>
      <c r="D259" s="24"/>
      <c r="F259" s="24"/>
    </row>
    <row r="260">
      <c r="B260" s="24"/>
      <c r="D260" s="24"/>
      <c r="F260" s="24"/>
    </row>
    <row r="261">
      <c r="B261" s="24"/>
      <c r="D261" s="24"/>
      <c r="F261" s="24"/>
    </row>
    <row r="262">
      <c r="B262" s="24"/>
      <c r="D262" s="24"/>
      <c r="F262" s="24"/>
    </row>
    <row r="263">
      <c r="B263" s="24"/>
      <c r="D263" s="24"/>
      <c r="F263" s="24"/>
    </row>
    <row r="264">
      <c r="B264" s="24"/>
      <c r="D264" s="24"/>
      <c r="F264" s="24"/>
    </row>
    <row r="265">
      <c r="B265" s="24"/>
      <c r="D265" s="24"/>
      <c r="F265" s="24"/>
    </row>
    <row r="266">
      <c r="B266" s="24"/>
      <c r="D266" s="24"/>
      <c r="F266" s="24"/>
    </row>
    <row r="267">
      <c r="B267" s="24"/>
      <c r="D267" s="24"/>
      <c r="F267" s="24"/>
    </row>
    <row r="268">
      <c r="B268" s="24"/>
      <c r="D268" s="24"/>
      <c r="F268" s="24"/>
    </row>
    <row r="269">
      <c r="B269" s="24"/>
      <c r="D269" s="24"/>
      <c r="F269" s="24"/>
    </row>
    <row r="270">
      <c r="B270" s="24"/>
      <c r="D270" s="24"/>
      <c r="F270" s="24"/>
    </row>
    <row r="271">
      <c r="B271" s="24"/>
      <c r="D271" s="24"/>
      <c r="F271" s="24"/>
    </row>
    <row r="272">
      <c r="B272" s="24"/>
      <c r="D272" s="24"/>
      <c r="F272" s="24"/>
    </row>
    <row r="273">
      <c r="B273" s="24"/>
      <c r="D273" s="24"/>
      <c r="F273" s="24"/>
    </row>
    <row r="274">
      <c r="B274" s="24"/>
      <c r="D274" s="24"/>
      <c r="F274" s="24"/>
    </row>
    <row r="275">
      <c r="B275" s="24"/>
      <c r="D275" s="24"/>
      <c r="F275" s="24"/>
    </row>
    <row r="276">
      <c r="B276" s="24"/>
      <c r="D276" s="24"/>
      <c r="F276" s="24"/>
    </row>
    <row r="277">
      <c r="B277" s="24"/>
      <c r="D277" s="24"/>
      <c r="F277" s="24"/>
    </row>
    <row r="278">
      <c r="B278" s="24"/>
      <c r="D278" s="24"/>
      <c r="F278" s="24"/>
    </row>
    <row r="279">
      <c r="B279" s="24"/>
      <c r="D279" s="24"/>
      <c r="F279" s="24"/>
    </row>
    <row r="280">
      <c r="B280" s="24"/>
      <c r="D280" s="24"/>
      <c r="F280" s="24"/>
    </row>
    <row r="281">
      <c r="B281" s="24"/>
      <c r="D281" s="24"/>
      <c r="F281" s="24"/>
    </row>
    <row r="282">
      <c r="B282" s="24"/>
      <c r="D282" s="24"/>
      <c r="F282" s="24"/>
    </row>
    <row r="283">
      <c r="B283" s="24"/>
      <c r="D283" s="24"/>
      <c r="F283" s="24"/>
    </row>
    <row r="284">
      <c r="B284" s="24"/>
      <c r="D284" s="24"/>
      <c r="F284" s="24"/>
    </row>
    <row r="285">
      <c r="B285" s="24"/>
      <c r="D285" s="24"/>
      <c r="F285" s="24"/>
    </row>
    <row r="286">
      <c r="B286" s="24"/>
      <c r="D286" s="24"/>
      <c r="F286" s="24"/>
    </row>
    <row r="287">
      <c r="B287" s="24"/>
      <c r="D287" s="24"/>
      <c r="F287" s="24"/>
    </row>
    <row r="288">
      <c r="B288" s="24"/>
      <c r="D288" s="24"/>
      <c r="F288" s="24"/>
    </row>
    <row r="289">
      <c r="B289" s="24"/>
      <c r="D289" s="24"/>
      <c r="F289" s="24"/>
    </row>
    <row r="290">
      <c r="B290" s="24"/>
      <c r="D290" s="24"/>
      <c r="F290" s="24"/>
    </row>
    <row r="291">
      <c r="B291" s="24"/>
      <c r="D291" s="24"/>
      <c r="F291" s="24"/>
    </row>
    <row r="292">
      <c r="B292" s="24"/>
      <c r="D292" s="24"/>
      <c r="F292" s="24"/>
    </row>
    <row r="293">
      <c r="B293" s="24"/>
      <c r="D293" s="24"/>
      <c r="F293" s="24"/>
    </row>
    <row r="294">
      <c r="B294" s="24"/>
      <c r="D294" s="24"/>
      <c r="F294" s="24"/>
    </row>
    <row r="295">
      <c r="B295" s="24"/>
      <c r="D295" s="24"/>
      <c r="F295" s="24"/>
    </row>
    <row r="296">
      <c r="B296" s="24"/>
      <c r="D296" s="24"/>
      <c r="F296" s="24"/>
    </row>
    <row r="297">
      <c r="B297" s="24"/>
      <c r="D297" s="24"/>
      <c r="F297" s="24"/>
    </row>
    <row r="298">
      <c r="B298" s="24"/>
      <c r="D298" s="24"/>
      <c r="F298" s="24"/>
    </row>
    <row r="299">
      <c r="B299" s="24"/>
      <c r="D299" s="24"/>
      <c r="F299" s="24"/>
    </row>
    <row r="300">
      <c r="B300" s="24"/>
      <c r="D300" s="24"/>
      <c r="F300" s="24"/>
    </row>
    <row r="301">
      <c r="B301" s="24"/>
      <c r="D301" s="24"/>
      <c r="F301" s="24"/>
    </row>
    <row r="302">
      <c r="B302" s="24"/>
      <c r="D302" s="24"/>
      <c r="F302" s="24"/>
    </row>
    <row r="303">
      <c r="B303" s="24"/>
      <c r="D303" s="24"/>
      <c r="F303" s="24"/>
    </row>
    <row r="304">
      <c r="B304" s="24"/>
      <c r="D304" s="24"/>
      <c r="F304" s="24"/>
    </row>
    <row r="305">
      <c r="B305" s="24"/>
      <c r="D305" s="24"/>
      <c r="F305" s="24"/>
    </row>
    <row r="306">
      <c r="B306" s="24"/>
      <c r="D306" s="24"/>
      <c r="F306" s="24"/>
    </row>
    <row r="307">
      <c r="B307" s="24"/>
      <c r="D307" s="24"/>
      <c r="F307" s="24"/>
    </row>
    <row r="308">
      <c r="B308" s="24"/>
      <c r="D308" s="24"/>
      <c r="F308" s="24"/>
    </row>
    <row r="309">
      <c r="B309" s="24"/>
      <c r="D309" s="24"/>
      <c r="F309" s="24"/>
    </row>
    <row r="310">
      <c r="B310" s="24"/>
      <c r="D310" s="24"/>
      <c r="F310" s="24"/>
    </row>
    <row r="311">
      <c r="B311" s="24"/>
      <c r="D311" s="24"/>
      <c r="F311" s="24"/>
    </row>
    <row r="312">
      <c r="B312" s="24"/>
      <c r="D312" s="24"/>
      <c r="F312" s="24"/>
    </row>
    <row r="313">
      <c r="B313" s="24"/>
      <c r="D313" s="24"/>
      <c r="F313" s="24"/>
    </row>
    <row r="314">
      <c r="B314" s="24"/>
      <c r="D314" s="24"/>
      <c r="F314" s="24"/>
    </row>
    <row r="315">
      <c r="B315" s="24"/>
      <c r="D315" s="24"/>
      <c r="F315" s="24"/>
    </row>
    <row r="316">
      <c r="B316" s="24"/>
      <c r="D316" s="24"/>
      <c r="F316" s="24"/>
    </row>
    <row r="317">
      <c r="B317" s="24"/>
      <c r="D317" s="24"/>
      <c r="F317" s="24"/>
    </row>
    <row r="318">
      <c r="B318" s="24"/>
      <c r="D318" s="24"/>
      <c r="F318" s="24"/>
    </row>
    <row r="319">
      <c r="B319" s="24"/>
      <c r="D319" s="24"/>
      <c r="F319" s="24"/>
    </row>
    <row r="320">
      <c r="B320" s="24"/>
      <c r="D320" s="24"/>
      <c r="F320" s="24"/>
    </row>
    <row r="321">
      <c r="B321" s="24"/>
      <c r="D321" s="24"/>
      <c r="F321" s="24"/>
    </row>
    <row r="322">
      <c r="B322" s="24"/>
      <c r="D322" s="24"/>
      <c r="F322" s="24"/>
    </row>
    <row r="323">
      <c r="B323" s="24"/>
      <c r="D323" s="24"/>
      <c r="F323" s="24"/>
    </row>
    <row r="324">
      <c r="B324" s="24"/>
      <c r="D324" s="24"/>
      <c r="F324" s="24"/>
    </row>
    <row r="325">
      <c r="B325" s="24"/>
      <c r="D325" s="24"/>
      <c r="F325" s="24"/>
    </row>
    <row r="326">
      <c r="B326" s="24"/>
      <c r="D326" s="24"/>
      <c r="F326" s="24"/>
    </row>
    <row r="327">
      <c r="B327" s="24"/>
      <c r="D327" s="24"/>
      <c r="F327" s="24"/>
    </row>
    <row r="328">
      <c r="B328" s="24"/>
      <c r="D328" s="24"/>
      <c r="F328" s="24"/>
    </row>
    <row r="329">
      <c r="B329" s="24"/>
      <c r="D329" s="24"/>
      <c r="F329" s="24"/>
    </row>
    <row r="330">
      <c r="B330" s="24"/>
      <c r="D330" s="24"/>
      <c r="F330" s="24"/>
    </row>
    <row r="331">
      <c r="B331" s="24"/>
      <c r="D331" s="24"/>
      <c r="F331" s="24"/>
    </row>
    <row r="332">
      <c r="B332" s="24"/>
      <c r="D332" s="24"/>
      <c r="F332" s="24"/>
    </row>
    <row r="333">
      <c r="B333" s="24"/>
      <c r="D333" s="24"/>
      <c r="F333" s="24"/>
    </row>
    <row r="334">
      <c r="B334" s="24"/>
      <c r="D334" s="24"/>
      <c r="F334" s="24"/>
    </row>
    <row r="335">
      <c r="B335" s="24"/>
      <c r="D335" s="24"/>
      <c r="F335" s="24"/>
    </row>
    <row r="336">
      <c r="B336" s="24"/>
      <c r="D336" s="24"/>
      <c r="F336" s="24"/>
    </row>
    <row r="337">
      <c r="B337" s="24"/>
      <c r="D337" s="24"/>
      <c r="F337" s="24"/>
    </row>
    <row r="338">
      <c r="B338" s="24"/>
      <c r="D338" s="24"/>
      <c r="F338" s="24"/>
    </row>
    <row r="339">
      <c r="B339" s="24"/>
      <c r="D339" s="24"/>
      <c r="F339" s="24"/>
    </row>
    <row r="340">
      <c r="B340" s="24"/>
      <c r="D340" s="24"/>
      <c r="F340" s="24"/>
    </row>
    <row r="341">
      <c r="B341" s="24"/>
      <c r="D341" s="24"/>
      <c r="F341" s="24"/>
    </row>
    <row r="342">
      <c r="B342" s="24"/>
      <c r="D342" s="24"/>
      <c r="F342" s="24"/>
    </row>
    <row r="343">
      <c r="B343" s="24"/>
      <c r="D343" s="24"/>
      <c r="F343" s="24"/>
    </row>
    <row r="344">
      <c r="B344" s="24"/>
      <c r="D344" s="24"/>
      <c r="F344" s="24"/>
    </row>
    <row r="345">
      <c r="B345" s="24"/>
      <c r="D345" s="24"/>
      <c r="F345" s="24"/>
    </row>
    <row r="346">
      <c r="B346" s="24"/>
      <c r="D346" s="24"/>
      <c r="F346" s="24"/>
    </row>
    <row r="347">
      <c r="B347" s="24"/>
      <c r="D347" s="24"/>
      <c r="F347" s="24"/>
    </row>
    <row r="348">
      <c r="B348" s="24"/>
      <c r="D348" s="24"/>
      <c r="F348" s="24"/>
    </row>
    <row r="349">
      <c r="B349" s="24"/>
      <c r="D349" s="24"/>
      <c r="F349" s="24"/>
    </row>
    <row r="350">
      <c r="B350" s="24"/>
      <c r="D350" s="24"/>
      <c r="F350" s="24"/>
    </row>
    <row r="351">
      <c r="B351" s="24"/>
      <c r="D351" s="24"/>
      <c r="F351" s="24"/>
    </row>
    <row r="352">
      <c r="B352" s="24"/>
      <c r="D352" s="24"/>
      <c r="F352" s="24"/>
    </row>
    <row r="353">
      <c r="B353" s="24"/>
      <c r="D353" s="24"/>
      <c r="F353" s="24"/>
    </row>
    <row r="354">
      <c r="B354" s="24"/>
      <c r="D354" s="24"/>
      <c r="F354" s="24"/>
    </row>
    <row r="355">
      <c r="B355" s="24"/>
      <c r="D355" s="24"/>
      <c r="F355" s="24"/>
    </row>
    <row r="356">
      <c r="B356" s="24"/>
      <c r="D356" s="24"/>
      <c r="F356" s="24"/>
    </row>
    <row r="357">
      <c r="B357" s="24"/>
      <c r="D357" s="24"/>
      <c r="F357" s="24"/>
    </row>
    <row r="358">
      <c r="B358" s="24"/>
      <c r="D358" s="24"/>
      <c r="F358" s="24"/>
    </row>
    <row r="359">
      <c r="B359" s="24"/>
      <c r="D359" s="24"/>
      <c r="F359" s="24"/>
    </row>
    <row r="360">
      <c r="B360" s="24"/>
      <c r="D360" s="24"/>
      <c r="F360" s="24"/>
    </row>
    <row r="361">
      <c r="B361" s="24"/>
      <c r="D361" s="24"/>
      <c r="F361" s="24"/>
    </row>
    <row r="362">
      <c r="B362" s="24"/>
      <c r="D362" s="24"/>
      <c r="F362" s="24"/>
    </row>
    <row r="363">
      <c r="B363" s="24"/>
      <c r="D363" s="24"/>
      <c r="F363" s="24"/>
    </row>
    <row r="364">
      <c r="B364" s="24"/>
      <c r="D364" s="24"/>
      <c r="F364" s="24"/>
    </row>
    <row r="365">
      <c r="B365" s="24"/>
      <c r="D365" s="24"/>
      <c r="F365" s="24"/>
    </row>
    <row r="366">
      <c r="B366" s="24"/>
      <c r="D366" s="24"/>
      <c r="F366" s="24"/>
    </row>
    <row r="367">
      <c r="B367" s="24"/>
      <c r="D367" s="24"/>
      <c r="F367" s="24"/>
    </row>
    <row r="368">
      <c r="B368" s="24"/>
      <c r="D368" s="24"/>
      <c r="F368" s="24"/>
    </row>
    <row r="369">
      <c r="B369" s="24"/>
      <c r="D369" s="24"/>
      <c r="F369" s="24"/>
    </row>
    <row r="370">
      <c r="B370" s="24"/>
      <c r="D370" s="24"/>
      <c r="F370" s="24"/>
    </row>
    <row r="371">
      <c r="B371" s="24"/>
      <c r="D371" s="24"/>
      <c r="F371" s="24"/>
    </row>
    <row r="372">
      <c r="B372" s="24"/>
      <c r="D372" s="24"/>
      <c r="F372" s="24"/>
    </row>
    <row r="373">
      <c r="B373" s="24"/>
      <c r="D373" s="24"/>
      <c r="F373" s="24"/>
    </row>
    <row r="374">
      <c r="B374" s="24"/>
      <c r="D374" s="24"/>
      <c r="F374" s="24"/>
    </row>
    <row r="375">
      <c r="B375" s="24"/>
      <c r="D375" s="24"/>
      <c r="F375" s="24"/>
    </row>
    <row r="376">
      <c r="B376" s="24"/>
      <c r="D376" s="24"/>
      <c r="F376" s="24"/>
    </row>
    <row r="377">
      <c r="B377" s="24"/>
      <c r="D377" s="24"/>
      <c r="F377" s="24"/>
    </row>
    <row r="378">
      <c r="B378" s="24"/>
      <c r="D378" s="24"/>
      <c r="F378" s="24"/>
    </row>
    <row r="379">
      <c r="B379" s="24"/>
      <c r="D379" s="24"/>
      <c r="F379" s="24"/>
    </row>
    <row r="380">
      <c r="B380" s="24"/>
      <c r="D380" s="24"/>
      <c r="F380" s="24"/>
    </row>
    <row r="381">
      <c r="B381" s="24"/>
      <c r="D381" s="24"/>
      <c r="F381" s="24"/>
    </row>
    <row r="382">
      <c r="B382" s="24"/>
      <c r="D382" s="24"/>
      <c r="F382" s="24"/>
    </row>
    <row r="383">
      <c r="B383" s="24"/>
      <c r="D383" s="24"/>
      <c r="F383" s="24"/>
    </row>
    <row r="384">
      <c r="B384" s="24"/>
      <c r="D384" s="24"/>
      <c r="F384" s="24"/>
    </row>
    <row r="385">
      <c r="B385" s="24"/>
      <c r="D385" s="24"/>
      <c r="F385" s="24"/>
    </row>
    <row r="386">
      <c r="B386" s="24"/>
      <c r="D386" s="24"/>
      <c r="F386" s="24"/>
    </row>
    <row r="387">
      <c r="B387" s="24"/>
      <c r="D387" s="24"/>
      <c r="F387" s="24"/>
    </row>
    <row r="388">
      <c r="B388" s="24"/>
      <c r="D388" s="24"/>
      <c r="F388" s="24"/>
    </row>
    <row r="389">
      <c r="B389" s="24"/>
      <c r="D389" s="24"/>
      <c r="F389" s="24"/>
    </row>
    <row r="390">
      <c r="B390" s="24"/>
      <c r="D390" s="24"/>
      <c r="F390" s="24"/>
    </row>
    <row r="391">
      <c r="B391" s="24"/>
      <c r="D391" s="24"/>
      <c r="F391" s="24"/>
    </row>
    <row r="392">
      <c r="B392" s="24"/>
      <c r="D392" s="24"/>
      <c r="F392" s="24"/>
    </row>
    <row r="393">
      <c r="B393" s="24"/>
      <c r="D393" s="24"/>
      <c r="F393" s="24"/>
    </row>
    <row r="394">
      <c r="B394" s="24"/>
      <c r="D394" s="24"/>
      <c r="F394" s="24"/>
    </row>
    <row r="395">
      <c r="B395" s="24"/>
      <c r="D395" s="24"/>
      <c r="F395" s="24"/>
    </row>
    <row r="396">
      <c r="B396" s="24"/>
      <c r="D396" s="24"/>
      <c r="F396" s="24"/>
    </row>
    <row r="397">
      <c r="B397" s="24"/>
      <c r="D397" s="24"/>
      <c r="F397" s="24"/>
    </row>
    <row r="398">
      <c r="B398" s="24"/>
      <c r="D398" s="24"/>
      <c r="F398" s="24"/>
    </row>
    <row r="399">
      <c r="B399" s="24"/>
      <c r="D399" s="24"/>
      <c r="F399" s="24"/>
    </row>
    <row r="400">
      <c r="B400" s="24"/>
      <c r="D400" s="24"/>
      <c r="F400" s="24"/>
    </row>
    <row r="401">
      <c r="B401" s="24"/>
      <c r="D401" s="24"/>
      <c r="F401" s="24"/>
    </row>
    <row r="402">
      <c r="B402" s="24"/>
      <c r="D402" s="24"/>
      <c r="F402" s="24"/>
    </row>
    <row r="403">
      <c r="B403" s="24"/>
      <c r="D403" s="24"/>
      <c r="F403" s="24"/>
    </row>
    <row r="404">
      <c r="B404" s="24"/>
      <c r="D404" s="24"/>
      <c r="F404" s="24"/>
    </row>
    <row r="405">
      <c r="B405" s="24"/>
      <c r="D405" s="24"/>
      <c r="F405" s="24"/>
    </row>
    <row r="406">
      <c r="B406" s="24"/>
      <c r="D406" s="24"/>
      <c r="F406" s="24"/>
    </row>
    <row r="407">
      <c r="B407" s="24"/>
      <c r="D407" s="24"/>
      <c r="F407" s="24"/>
    </row>
    <row r="408">
      <c r="B408" s="24"/>
      <c r="D408" s="24"/>
      <c r="F408" s="24"/>
    </row>
    <row r="409">
      <c r="B409" s="24"/>
      <c r="D409" s="24"/>
      <c r="F409" s="24"/>
    </row>
    <row r="410">
      <c r="B410" s="24"/>
      <c r="D410" s="24"/>
      <c r="F410" s="24"/>
    </row>
    <row r="411">
      <c r="B411" s="24"/>
      <c r="D411" s="24"/>
      <c r="F411" s="24"/>
    </row>
    <row r="412">
      <c r="B412" s="24"/>
      <c r="D412" s="24"/>
      <c r="F412" s="24"/>
    </row>
    <row r="413">
      <c r="B413" s="24"/>
      <c r="D413" s="24"/>
      <c r="F413" s="24"/>
    </row>
    <row r="414">
      <c r="B414" s="24"/>
      <c r="D414" s="24"/>
      <c r="F414" s="24"/>
    </row>
    <row r="415">
      <c r="B415" s="24"/>
      <c r="D415" s="24"/>
      <c r="F415" s="24"/>
    </row>
    <row r="416">
      <c r="B416" s="24"/>
      <c r="D416" s="24"/>
      <c r="F416" s="24"/>
    </row>
    <row r="417">
      <c r="B417" s="24"/>
      <c r="D417" s="24"/>
      <c r="F417" s="24"/>
    </row>
    <row r="418">
      <c r="B418" s="24"/>
      <c r="D418" s="24"/>
      <c r="F418" s="24"/>
    </row>
    <row r="419">
      <c r="B419" s="24"/>
      <c r="D419" s="24"/>
      <c r="F419" s="24"/>
    </row>
    <row r="420">
      <c r="B420" s="24"/>
      <c r="D420" s="24"/>
      <c r="F420" s="24"/>
    </row>
    <row r="421">
      <c r="B421" s="24"/>
      <c r="D421" s="24"/>
      <c r="F421" s="24"/>
    </row>
    <row r="422">
      <c r="B422" s="24"/>
      <c r="D422" s="24"/>
      <c r="F422" s="24"/>
    </row>
    <row r="423">
      <c r="B423" s="24"/>
      <c r="D423" s="24"/>
      <c r="F423" s="24"/>
    </row>
    <row r="424">
      <c r="B424" s="24"/>
      <c r="D424" s="24"/>
      <c r="F424" s="24"/>
    </row>
    <row r="425">
      <c r="B425" s="24"/>
      <c r="D425" s="24"/>
      <c r="F425" s="24"/>
    </row>
    <row r="426">
      <c r="B426" s="24"/>
      <c r="D426" s="24"/>
      <c r="F426" s="24"/>
    </row>
    <row r="427">
      <c r="B427" s="24"/>
      <c r="D427" s="24"/>
      <c r="F427" s="24"/>
    </row>
    <row r="428">
      <c r="B428" s="24"/>
      <c r="D428" s="24"/>
      <c r="F428" s="24"/>
    </row>
    <row r="429">
      <c r="B429" s="24"/>
      <c r="D429" s="24"/>
      <c r="F429" s="24"/>
    </row>
    <row r="430">
      <c r="B430" s="24"/>
      <c r="D430" s="24"/>
      <c r="F430" s="24"/>
    </row>
    <row r="431">
      <c r="B431" s="24"/>
      <c r="D431" s="24"/>
      <c r="F431" s="24"/>
    </row>
    <row r="432">
      <c r="B432" s="24"/>
      <c r="D432" s="24"/>
      <c r="F432" s="24"/>
    </row>
    <row r="433">
      <c r="B433" s="24"/>
      <c r="D433" s="24"/>
      <c r="F433" s="24"/>
    </row>
    <row r="434">
      <c r="B434" s="24"/>
      <c r="D434" s="24"/>
      <c r="F434" s="24"/>
    </row>
    <row r="435">
      <c r="B435" s="24"/>
      <c r="D435" s="24"/>
      <c r="F435" s="24"/>
    </row>
    <row r="436">
      <c r="B436" s="24"/>
      <c r="D436" s="24"/>
      <c r="F436" s="24"/>
    </row>
    <row r="437">
      <c r="B437" s="24"/>
      <c r="D437" s="24"/>
      <c r="F437" s="24"/>
    </row>
    <row r="438">
      <c r="B438" s="24"/>
      <c r="D438" s="24"/>
      <c r="F438" s="24"/>
    </row>
    <row r="439">
      <c r="B439" s="24"/>
      <c r="D439" s="24"/>
      <c r="F439" s="24"/>
    </row>
    <row r="440">
      <c r="B440" s="24"/>
      <c r="D440" s="24"/>
      <c r="F440" s="24"/>
    </row>
    <row r="441">
      <c r="B441" s="24"/>
      <c r="D441" s="24"/>
      <c r="F441" s="24"/>
    </row>
    <row r="442">
      <c r="B442" s="24"/>
      <c r="D442" s="24"/>
      <c r="F442" s="24"/>
    </row>
    <row r="443">
      <c r="B443" s="24"/>
      <c r="D443" s="24"/>
      <c r="F443" s="24"/>
    </row>
    <row r="444">
      <c r="B444" s="24"/>
      <c r="D444" s="24"/>
      <c r="F444" s="24"/>
    </row>
    <row r="445">
      <c r="B445" s="24"/>
      <c r="D445" s="24"/>
      <c r="F445" s="24"/>
    </row>
    <row r="446">
      <c r="B446" s="24"/>
      <c r="D446" s="24"/>
      <c r="F446" s="24"/>
    </row>
    <row r="447">
      <c r="B447" s="24"/>
      <c r="D447" s="24"/>
      <c r="F447" s="24"/>
    </row>
    <row r="448">
      <c r="B448" s="24"/>
      <c r="D448" s="24"/>
      <c r="F448" s="24"/>
    </row>
    <row r="449">
      <c r="B449" s="24"/>
      <c r="D449" s="24"/>
      <c r="F449" s="24"/>
    </row>
    <row r="450">
      <c r="B450" s="24"/>
      <c r="D450" s="24"/>
      <c r="F450" s="24"/>
    </row>
    <row r="451">
      <c r="B451" s="24"/>
      <c r="D451" s="24"/>
      <c r="F451" s="24"/>
    </row>
    <row r="452">
      <c r="B452" s="24"/>
      <c r="D452" s="24"/>
      <c r="F452" s="24"/>
    </row>
    <row r="453">
      <c r="B453" s="24"/>
      <c r="D453" s="24"/>
      <c r="F453" s="24"/>
    </row>
    <row r="454">
      <c r="B454" s="24"/>
      <c r="D454" s="24"/>
      <c r="F454" s="24"/>
    </row>
    <row r="455">
      <c r="B455" s="24"/>
      <c r="D455" s="24"/>
      <c r="F455" s="24"/>
    </row>
    <row r="456">
      <c r="B456" s="24"/>
      <c r="D456" s="24"/>
      <c r="F456" s="24"/>
    </row>
    <row r="457">
      <c r="B457" s="24"/>
      <c r="D457" s="24"/>
      <c r="F457" s="24"/>
    </row>
    <row r="458">
      <c r="B458" s="24"/>
      <c r="D458" s="24"/>
      <c r="F458" s="24"/>
    </row>
    <row r="459">
      <c r="B459" s="24"/>
      <c r="D459" s="24"/>
      <c r="F459" s="24"/>
    </row>
    <row r="460">
      <c r="B460" s="24"/>
      <c r="D460" s="24"/>
      <c r="F460" s="24"/>
    </row>
    <row r="461">
      <c r="B461" s="24"/>
      <c r="D461" s="24"/>
      <c r="F461" s="24"/>
    </row>
    <row r="462">
      <c r="B462" s="24"/>
      <c r="D462" s="24"/>
      <c r="F462" s="24"/>
    </row>
    <row r="463">
      <c r="B463" s="24"/>
      <c r="D463" s="24"/>
      <c r="F463" s="24"/>
    </row>
    <row r="464">
      <c r="B464" s="24"/>
      <c r="D464" s="24"/>
      <c r="F464" s="24"/>
    </row>
    <row r="465">
      <c r="B465" s="24"/>
      <c r="D465" s="24"/>
      <c r="F465" s="24"/>
    </row>
    <row r="466">
      <c r="B466" s="24"/>
      <c r="D466" s="24"/>
      <c r="F466" s="24"/>
    </row>
    <row r="467">
      <c r="B467" s="24"/>
      <c r="D467" s="24"/>
      <c r="F467" s="24"/>
    </row>
    <row r="468">
      <c r="B468" s="24"/>
      <c r="D468" s="24"/>
      <c r="F468" s="24"/>
    </row>
    <row r="469">
      <c r="B469" s="24"/>
      <c r="D469" s="24"/>
      <c r="F469" s="24"/>
    </row>
    <row r="470">
      <c r="B470" s="24"/>
      <c r="D470" s="24"/>
      <c r="F470" s="24"/>
    </row>
    <row r="471">
      <c r="B471" s="24"/>
      <c r="D471" s="24"/>
      <c r="F471" s="24"/>
    </row>
    <row r="472">
      <c r="B472" s="24"/>
      <c r="D472" s="24"/>
      <c r="F472" s="24"/>
    </row>
    <row r="473">
      <c r="B473" s="24"/>
      <c r="D473" s="24"/>
      <c r="F473" s="24"/>
    </row>
    <row r="474">
      <c r="B474" s="24"/>
      <c r="D474" s="24"/>
      <c r="F474" s="24"/>
    </row>
    <row r="475">
      <c r="B475" s="24"/>
      <c r="D475" s="24"/>
      <c r="F475" s="24"/>
    </row>
    <row r="476">
      <c r="B476" s="24"/>
      <c r="D476" s="24"/>
      <c r="F476" s="24"/>
    </row>
    <row r="477">
      <c r="B477" s="24"/>
      <c r="D477" s="24"/>
      <c r="F477" s="24"/>
    </row>
    <row r="478">
      <c r="B478" s="24"/>
      <c r="D478" s="24"/>
      <c r="F478" s="24"/>
    </row>
    <row r="479">
      <c r="B479" s="24"/>
      <c r="D479" s="24"/>
      <c r="F479" s="24"/>
    </row>
    <row r="480">
      <c r="B480" s="24"/>
      <c r="D480" s="24"/>
      <c r="F480" s="24"/>
    </row>
    <row r="481">
      <c r="B481" s="24"/>
      <c r="D481" s="24"/>
      <c r="F481" s="24"/>
    </row>
    <row r="482">
      <c r="B482" s="24"/>
      <c r="D482" s="24"/>
      <c r="F482" s="24"/>
    </row>
    <row r="483">
      <c r="B483" s="24"/>
      <c r="D483" s="24"/>
      <c r="F483" s="24"/>
    </row>
    <row r="484">
      <c r="B484" s="24"/>
      <c r="D484" s="24"/>
      <c r="F484" s="24"/>
    </row>
    <row r="485">
      <c r="B485" s="24"/>
      <c r="D485" s="24"/>
      <c r="F485" s="24"/>
    </row>
    <row r="486">
      <c r="B486" s="24"/>
      <c r="D486" s="24"/>
      <c r="F486" s="24"/>
    </row>
    <row r="487">
      <c r="B487" s="24"/>
      <c r="D487" s="24"/>
      <c r="F487" s="24"/>
    </row>
    <row r="488">
      <c r="B488" s="24"/>
      <c r="D488" s="24"/>
      <c r="F488" s="24"/>
    </row>
    <row r="489">
      <c r="B489" s="24"/>
      <c r="D489" s="24"/>
      <c r="F489" s="24"/>
    </row>
    <row r="490">
      <c r="B490" s="24"/>
      <c r="D490" s="24"/>
      <c r="F490" s="24"/>
    </row>
    <row r="491">
      <c r="B491" s="24"/>
      <c r="D491" s="24"/>
      <c r="F491" s="24"/>
    </row>
    <row r="492">
      <c r="B492" s="24"/>
      <c r="D492" s="24"/>
      <c r="F492" s="24"/>
    </row>
    <row r="493">
      <c r="B493" s="24"/>
      <c r="D493" s="24"/>
      <c r="F493" s="24"/>
    </row>
    <row r="494">
      <c r="B494" s="24"/>
      <c r="D494" s="24"/>
      <c r="F494" s="24"/>
    </row>
    <row r="495">
      <c r="B495" s="24"/>
      <c r="D495" s="24"/>
      <c r="F495" s="24"/>
    </row>
    <row r="496">
      <c r="B496" s="24"/>
      <c r="D496" s="24"/>
      <c r="F496" s="24"/>
    </row>
    <row r="497">
      <c r="B497" s="24"/>
      <c r="D497" s="24"/>
      <c r="F497" s="24"/>
    </row>
    <row r="498">
      <c r="B498" s="24"/>
      <c r="D498" s="24"/>
      <c r="F498" s="24"/>
    </row>
    <row r="499">
      <c r="B499" s="24"/>
      <c r="D499" s="24"/>
      <c r="F499" s="24"/>
    </row>
    <row r="500">
      <c r="B500" s="24"/>
      <c r="D500" s="24"/>
      <c r="F500" s="24"/>
    </row>
    <row r="501">
      <c r="B501" s="24"/>
      <c r="D501" s="24"/>
      <c r="F501" s="24"/>
    </row>
    <row r="502">
      <c r="B502" s="24"/>
      <c r="D502" s="24"/>
      <c r="F502" s="24"/>
    </row>
    <row r="503">
      <c r="B503" s="24"/>
      <c r="D503" s="24"/>
      <c r="F503" s="24"/>
    </row>
    <row r="504">
      <c r="B504" s="24"/>
      <c r="D504" s="24"/>
      <c r="F504" s="24"/>
    </row>
    <row r="505">
      <c r="B505" s="24"/>
      <c r="D505" s="24"/>
      <c r="F505" s="24"/>
    </row>
    <row r="506">
      <c r="B506" s="24"/>
      <c r="D506" s="24"/>
      <c r="F506" s="24"/>
    </row>
    <row r="507">
      <c r="B507" s="24"/>
      <c r="D507" s="24"/>
      <c r="F507" s="24"/>
    </row>
    <row r="508">
      <c r="B508" s="24"/>
      <c r="D508" s="24"/>
      <c r="F508" s="24"/>
    </row>
    <row r="509">
      <c r="B509" s="24"/>
      <c r="D509" s="24"/>
      <c r="F509" s="24"/>
    </row>
    <row r="510">
      <c r="B510" s="24"/>
      <c r="D510" s="24"/>
      <c r="F510" s="24"/>
    </row>
    <row r="511">
      <c r="B511" s="24"/>
      <c r="D511" s="24"/>
      <c r="F511" s="24"/>
    </row>
    <row r="512">
      <c r="B512" s="24"/>
      <c r="D512" s="24"/>
      <c r="F512" s="24"/>
    </row>
    <row r="513">
      <c r="B513" s="24"/>
      <c r="D513" s="24"/>
      <c r="F513" s="24"/>
    </row>
    <row r="514">
      <c r="B514" s="24"/>
      <c r="D514" s="24"/>
      <c r="F514" s="24"/>
    </row>
    <row r="515">
      <c r="B515" s="24"/>
      <c r="D515" s="24"/>
      <c r="F515" s="24"/>
    </row>
    <row r="516">
      <c r="B516" s="24"/>
      <c r="D516" s="24"/>
      <c r="F516" s="24"/>
    </row>
    <row r="517">
      <c r="B517" s="24"/>
      <c r="D517" s="24"/>
      <c r="F517" s="24"/>
    </row>
    <row r="518">
      <c r="B518" s="24"/>
      <c r="D518" s="24"/>
      <c r="F518" s="24"/>
    </row>
    <row r="519">
      <c r="B519" s="24"/>
      <c r="D519" s="24"/>
      <c r="F519" s="24"/>
    </row>
    <row r="520">
      <c r="B520" s="24"/>
      <c r="D520" s="24"/>
      <c r="F520" s="24"/>
    </row>
    <row r="521">
      <c r="B521" s="24"/>
      <c r="D521" s="24"/>
      <c r="F521" s="24"/>
    </row>
    <row r="522">
      <c r="B522" s="24"/>
      <c r="D522" s="24"/>
      <c r="F522" s="24"/>
    </row>
    <row r="523">
      <c r="B523" s="24"/>
      <c r="D523" s="24"/>
      <c r="F523" s="24"/>
    </row>
    <row r="524">
      <c r="B524" s="24"/>
      <c r="D524" s="24"/>
      <c r="F524" s="24"/>
    </row>
    <row r="525">
      <c r="B525" s="24"/>
      <c r="D525" s="24"/>
      <c r="F525" s="24"/>
    </row>
    <row r="526">
      <c r="B526" s="24"/>
      <c r="D526" s="24"/>
      <c r="F526" s="24"/>
    </row>
    <row r="527">
      <c r="B527" s="24"/>
      <c r="D527" s="24"/>
      <c r="F527" s="24"/>
    </row>
    <row r="528">
      <c r="B528" s="24"/>
      <c r="D528" s="24"/>
      <c r="F528" s="24"/>
    </row>
    <row r="529">
      <c r="B529" s="24"/>
      <c r="D529" s="24"/>
      <c r="F529" s="24"/>
    </row>
    <row r="530">
      <c r="B530" s="24"/>
      <c r="D530" s="24"/>
      <c r="F530" s="24"/>
    </row>
    <row r="531">
      <c r="B531" s="24"/>
      <c r="D531" s="24"/>
      <c r="F531" s="24"/>
    </row>
    <row r="532">
      <c r="B532" s="24"/>
      <c r="D532" s="24"/>
      <c r="F532" s="24"/>
    </row>
    <row r="533">
      <c r="B533" s="24"/>
      <c r="D533" s="24"/>
      <c r="F533" s="24"/>
    </row>
    <row r="534">
      <c r="B534" s="24"/>
      <c r="D534" s="24"/>
      <c r="F534" s="24"/>
    </row>
    <row r="535">
      <c r="B535" s="24"/>
      <c r="D535" s="24"/>
      <c r="F535" s="24"/>
    </row>
    <row r="536">
      <c r="B536" s="24"/>
      <c r="D536" s="24"/>
      <c r="F536" s="24"/>
    </row>
    <row r="537">
      <c r="B537" s="24"/>
      <c r="D537" s="24"/>
      <c r="F537" s="24"/>
    </row>
    <row r="538">
      <c r="B538" s="24"/>
      <c r="D538" s="24"/>
      <c r="F538" s="24"/>
    </row>
    <row r="539">
      <c r="B539" s="24"/>
      <c r="D539" s="24"/>
      <c r="F539" s="24"/>
    </row>
    <row r="540">
      <c r="B540" s="24"/>
      <c r="D540" s="24"/>
      <c r="F540" s="24"/>
    </row>
    <row r="541">
      <c r="B541" s="24"/>
      <c r="D541" s="24"/>
      <c r="F541" s="24"/>
    </row>
    <row r="542">
      <c r="B542" s="24"/>
      <c r="D542" s="24"/>
      <c r="F542" s="24"/>
    </row>
    <row r="543">
      <c r="B543" s="24"/>
      <c r="D543" s="24"/>
      <c r="F543" s="24"/>
    </row>
    <row r="544">
      <c r="B544" s="24"/>
      <c r="D544" s="24"/>
      <c r="F544" s="24"/>
    </row>
    <row r="545">
      <c r="B545" s="24"/>
      <c r="D545" s="24"/>
      <c r="F545" s="24"/>
    </row>
    <row r="546">
      <c r="B546" s="24"/>
      <c r="D546" s="24"/>
      <c r="F546" s="24"/>
    </row>
    <row r="547">
      <c r="B547" s="24"/>
      <c r="D547" s="24"/>
      <c r="F547" s="24"/>
    </row>
    <row r="548">
      <c r="B548" s="24"/>
      <c r="D548" s="24"/>
      <c r="F548" s="24"/>
    </row>
    <row r="549">
      <c r="B549" s="24"/>
      <c r="D549" s="24"/>
      <c r="F549" s="24"/>
    </row>
    <row r="550">
      <c r="B550" s="24"/>
      <c r="D550" s="24"/>
      <c r="F550" s="24"/>
    </row>
    <row r="551">
      <c r="B551" s="24"/>
      <c r="D551" s="24"/>
      <c r="F551" s="24"/>
    </row>
    <row r="552">
      <c r="B552" s="24"/>
      <c r="D552" s="24"/>
      <c r="F552" s="24"/>
    </row>
    <row r="553">
      <c r="B553" s="24"/>
      <c r="D553" s="24"/>
      <c r="F553" s="24"/>
    </row>
    <row r="554">
      <c r="B554" s="24"/>
      <c r="D554" s="24"/>
      <c r="F554" s="24"/>
    </row>
    <row r="555">
      <c r="B555" s="24"/>
      <c r="D555" s="24"/>
      <c r="F555" s="24"/>
    </row>
    <row r="556">
      <c r="B556" s="24"/>
      <c r="D556" s="24"/>
      <c r="F556" s="24"/>
    </row>
    <row r="557">
      <c r="B557" s="24"/>
      <c r="D557" s="24"/>
      <c r="F557" s="24"/>
    </row>
    <row r="558">
      <c r="B558" s="24"/>
      <c r="D558" s="24"/>
      <c r="F558" s="24"/>
    </row>
    <row r="559">
      <c r="B559" s="24"/>
      <c r="D559" s="24"/>
      <c r="F559" s="24"/>
    </row>
    <row r="560">
      <c r="B560" s="24"/>
      <c r="D560" s="24"/>
      <c r="F560" s="24"/>
    </row>
    <row r="561">
      <c r="B561" s="24"/>
      <c r="D561" s="24"/>
      <c r="F561" s="24"/>
    </row>
    <row r="562">
      <c r="B562" s="24"/>
      <c r="D562" s="24"/>
      <c r="F562" s="24"/>
    </row>
    <row r="563">
      <c r="B563" s="24"/>
      <c r="D563" s="24"/>
      <c r="F563" s="24"/>
    </row>
    <row r="564">
      <c r="B564" s="24"/>
      <c r="D564" s="24"/>
      <c r="F564" s="24"/>
    </row>
    <row r="565">
      <c r="B565" s="24"/>
      <c r="D565" s="24"/>
      <c r="F565" s="24"/>
    </row>
    <row r="566">
      <c r="B566" s="24"/>
      <c r="D566" s="24"/>
      <c r="F566" s="24"/>
    </row>
    <row r="567">
      <c r="B567" s="24"/>
      <c r="D567" s="24"/>
      <c r="F567" s="24"/>
    </row>
    <row r="568">
      <c r="B568" s="24"/>
      <c r="D568" s="24"/>
      <c r="F568" s="24"/>
    </row>
    <row r="569">
      <c r="B569" s="24"/>
      <c r="D569" s="24"/>
      <c r="F569" s="24"/>
    </row>
    <row r="570">
      <c r="B570" s="24"/>
      <c r="D570" s="24"/>
      <c r="F570" s="24"/>
    </row>
    <row r="571">
      <c r="B571" s="24"/>
      <c r="D571" s="24"/>
      <c r="F571" s="24"/>
    </row>
    <row r="572">
      <c r="B572" s="24"/>
      <c r="D572" s="24"/>
      <c r="F572" s="24"/>
    </row>
    <row r="573">
      <c r="B573" s="24"/>
      <c r="D573" s="24"/>
      <c r="F573" s="24"/>
    </row>
    <row r="574">
      <c r="B574" s="24"/>
      <c r="D574" s="24"/>
      <c r="F574" s="24"/>
    </row>
    <row r="575">
      <c r="B575" s="24"/>
      <c r="D575" s="24"/>
      <c r="F575" s="24"/>
    </row>
    <row r="576">
      <c r="B576" s="24"/>
      <c r="D576" s="24"/>
      <c r="F576" s="24"/>
    </row>
    <row r="577">
      <c r="B577" s="24"/>
      <c r="D577" s="24"/>
      <c r="F577" s="24"/>
    </row>
    <row r="578">
      <c r="B578" s="24"/>
      <c r="D578" s="24"/>
      <c r="F578" s="24"/>
    </row>
    <row r="579">
      <c r="B579" s="24"/>
      <c r="D579" s="24"/>
      <c r="F579" s="24"/>
    </row>
    <row r="580">
      <c r="B580" s="24"/>
      <c r="D580" s="24"/>
      <c r="F580" s="24"/>
    </row>
    <row r="581">
      <c r="B581" s="24"/>
      <c r="D581" s="24"/>
      <c r="F581" s="24"/>
    </row>
    <row r="582">
      <c r="B582" s="24"/>
      <c r="D582" s="24"/>
      <c r="F582" s="24"/>
    </row>
    <row r="583">
      <c r="B583" s="24"/>
      <c r="D583" s="24"/>
      <c r="F583" s="24"/>
    </row>
    <row r="584">
      <c r="B584" s="24"/>
      <c r="D584" s="24"/>
      <c r="F584" s="24"/>
    </row>
    <row r="585">
      <c r="B585" s="24"/>
      <c r="D585" s="24"/>
      <c r="F585" s="24"/>
    </row>
    <row r="586">
      <c r="B586" s="24"/>
      <c r="D586" s="24"/>
      <c r="F586" s="24"/>
    </row>
    <row r="587">
      <c r="B587" s="24"/>
      <c r="D587" s="24"/>
      <c r="F587" s="24"/>
    </row>
    <row r="588">
      <c r="B588" s="24"/>
      <c r="D588" s="24"/>
      <c r="F588" s="24"/>
    </row>
    <row r="589">
      <c r="B589" s="24"/>
      <c r="D589" s="24"/>
      <c r="F589" s="24"/>
    </row>
    <row r="590">
      <c r="B590" s="24"/>
      <c r="D590" s="24"/>
      <c r="F590" s="24"/>
    </row>
    <row r="591">
      <c r="B591" s="24"/>
      <c r="D591" s="24"/>
      <c r="F591" s="24"/>
    </row>
    <row r="592">
      <c r="B592" s="24"/>
      <c r="D592" s="24"/>
      <c r="F592" s="24"/>
    </row>
    <row r="593">
      <c r="B593" s="24"/>
      <c r="D593" s="24"/>
      <c r="F593" s="24"/>
    </row>
    <row r="594">
      <c r="B594" s="24"/>
      <c r="D594" s="24"/>
      <c r="F594" s="24"/>
    </row>
    <row r="595">
      <c r="B595" s="24"/>
      <c r="D595" s="24"/>
      <c r="F595" s="24"/>
    </row>
    <row r="596">
      <c r="B596" s="24"/>
      <c r="D596" s="24"/>
      <c r="F596" s="24"/>
    </row>
    <row r="597">
      <c r="B597" s="24"/>
      <c r="D597" s="24"/>
      <c r="F597" s="24"/>
    </row>
    <row r="598">
      <c r="B598" s="24"/>
      <c r="D598" s="24"/>
      <c r="F598" s="24"/>
    </row>
    <row r="599">
      <c r="B599" s="24"/>
      <c r="D599" s="24"/>
      <c r="F599" s="24"/>
    </row>
    <row r="600">
      <c r="B600" s="24"/>
      <c r="D600" s="24"/>
      <c r="F600" s="24"/>
    </row>
    <row r="601">
      <c r="B601" s="24"/>
      <c r="D601" s="24"/>
      <c r="F601" s="24"/>
    </row>
    <row r="602">
      <c r="B602" s="24"/>
      <c r="D602" s="24"/>
      <c r="F602" s="24"/>
    </row>
    <row r="603">
      <c r="B603" s="24"/>
      <c r="D603" s="24"/>
      <c r="F603" s="24"/>
    </row>
    <row r="604">
      <c r="B604" s="24"/>
      <c r="D604" s="24"/>
      <c r="F604" s="24"/>
    </row>
    <row r="605">
      <c r="B605" s="24"/>
      <c r="D605" s="24"/>
      <c r="F605" s="24"/>
    </row>
    <row r="606">
      <c r="B606" s="24"/>
      <c r="D606" s="24"/>
      <c r="F606" s="24"/>
    </row>
    <row r="607">
      <c r="B607" s="24"/>
      <c r="D607" s="24"/>
      <c r="F607" s="24"/>
    </row>
    <row r="608">
      <c r="B608" s="24"/>
      <c r="D608" s="24"/>
      <c r="F608" s="24"/>
    </row>
    <row r="609">
      <c r="B609" s="24"/>
      <c r="D609" s="24"/>
      <c r="F609" s="24"/>
    </row>
    <row r="610">
      <c r="B610" s="24"/>
      <c r="D610" s="24"/>
      <c r="F610" s="24"/>
    </row>
    <row r="611">
      <c r="B611" s="24"/>
      <c r="D611" s="24"/>
      <c r="F611" s="24"/>
    </row>
    <row r="612">
      <c r="B612" s="24"/>
      <c r="D612" s="24"/>
      <c r="F612" s="24"/>
    </row>
    <row r="613">
      <c r="B613" s="24"/>
      <c r="D613" s="24"/>
      <c r="F613" s="24"/>
    </row>
    <row r="614">
      <c r="B614" s="24"/>
      <c r="D614" s="24"/>
      <c r="F614" s="24"/>
    </row>
    <row r="615">
      <c r="B615" s="24"/>
      <c r="D615" s="24"/>
      <c r="F615" s="24"/>
    </row>
    <row r="616">
      <c r="B616" s="24"/>
      <c r="D616" s="24"/>
      <c r="F616" s="24"/>
    </row>
    <row r="617">
      <c r="B617" s="24"/>
      <c r="D617" s="24"/>
      <c r="F617" s="24"/>
    </row>
    <row r="618">
      <c r="B618" s="24"/>
      <c r="D618" s="24"/>
      <c r="F618" s="24"/>
    </row>
    <row r="619">
      <c r="B619" s="24"/>
      <c r="D619" s="24"/>
      <c r="F619" s="24"/>
    </row>
    <row r="620">
      <c r="B620" s="24"/>
      <c r="D620" s="24"/>
      <c r="F620" s="24"/>
    </row>
    <row r="621">
      <c r="B621" s="24"/>
      <c r="D621" s="24"/>
      <c r="F621" s="24"/>
    </row>
    <row r="622">
      <c r="B622" s="24"/>
      <c r="D622" s="24"/>
      <c r="F622" s="24"/>
    </row>
    <row r="623">
      <c r="B623" s="24"/>
      <c r="D623" s="24"/>
      <c r="F623" s="24"/>
    </row>
    <row r="624">
      <c r="B624" s="24"/>
      <c r="D624" s="24"/>
      <c r="F624" s="24"/>
    </row>
    <row r="625">
      <c r="B625" s="24"/>
      <c r="D625" s="24"/>
      <c r="F625" s="24"/>
    </row>
    <row r="626">
      <c r="B626" s="24"/>
      <c r="D626" s="24"/>
      <c r="F626" s="24"/>
    </row>
    <row r="627">
      <c r="B627" s="24"/>
      <c r="D627" s="24"/>
      <c r="F627" s="24"/>
    </row>
    <row r="628">
      <c r="B628" s="24"/>
      <c r="D628" s="24"/>
      <c r="F628" s="24"/>
    </row>
    <row r="629">
      <c r="B629" s="24"/>
      <c r="D629" s="24"/>
      <c r="F629" s="24"/>
    </row>
    <row r="630">
      <c r="B630" s="24"/>
      <c r="D630" s="24"/>
      <c r="F630" s="24"/>
    </row>
    <row r="631">
      <c r="B631" s="24"/>
      <c r="D631" s="24"/>
      <c r="F631" s="24"/>
    </row>
    <row r="632">
      <c r="B632" s="24"/>
      <c r="D632" s="24"/>
      <c r="F632" s="24"/>
    </row>
    <row r="633">
      <c r="B633" s="24"/>
      <c r="D633" s="24"/>
      <c r="F633" s="24"/>
    </row>
    <row r="634">
      <c r="B634" s="24"/>
      <c r="D634" s="24"/>
      <c r="F634" s="24"/>
    </row>
    <row r="635">
      <c r="B635" s="24"/>
      <c r="D635" s="24"/>
      <c r="F635" s="24"/>
    </row>
    <row r="636">
      <c r="B636" s="24"/>
      <c r="D636" s="24"/>
      <c r="F636" s="24"/>
    </row>
    <row r="637">
      <c r="B637" s="24"/>
      <c r="D637" s="24"/>
      <c r="F637" s="24"/>
    </row>
    <row r="638">
      <c r="B638" s="24"/>
      <c r="D638" s="24"/>
      <c r="F638" s="24"/>
    </row>
    <row r="639">
      <c r="B639" s="24"/>
      <c r="D639" s="24"/>
      <c r="F639" s="24"/>
    </row>
    <row r="640">
      <c r="B640" s="24"/>
      <c r="D640" s="24"/>
      <c r="F640" s="24"/>
    </row>
    <row r="641">
      <c r="B641" s="24"/>
      <c r="D641" s="24"/>
      <c r="F641" s="24"/>
    </row>
    <row r="642">
      <c r="B642" s="24"/>
      <c r="D642" s="24"/>
      <c r="F642" s="24"/>
    </row>
    <row r="643">
      <c r="B643" s="24"/>
      <c r="D643" s="24"/>
      <c r="F643" s="24"/>
    </row>
    <row r="644">
      <c r="B644" s="24"/>
      <c r="D644" s="24"/>
      <c r="F644" s="24"/>
    </row>
    <row r="645">
      <c r="B645" s="24"/>
      <c r="D645" s="24"/>
      <c r="F645" s="24"/>
    </row>
    <row r="646">
      <c r="B646" s="24"/>
      <c r="D646" s="24"/>
      <c r="F646" s="24"/>
    </row>
    <row r="647">
      <c r="B647" s="24"/>
      <c r="D647" s="24"/>
      <c r="F647" s="24"/>
    </row>
    <row r="648">
      <c r="B648" s="24"/>
      <c r="D648" s="24"/>
      <c r="F648" s="24"/>
    </row>
    <row r="649">
      <c r="B649" s="24"/>
      <c r="D649" s="24"/>
      <c r="F649" s="24"/>
    </row>
    <row r="650">
      <c r="B650" s="24"/>
      <c r="D650" s="24"/>
      <c r="F650" s="24"/>
    </row>
    <row r="651">
      <c r="B651" s="24"/>
      <c r="D651" s="24"/>
      <c r="F651" s="24"/>
    </row>
    <row r="652">
      <c r="B652" s="24"/>
      <c r="D652" s="24"/>
      <c r="F652" s="24"/>
    </row>
    <row r="653">
      <c r="B653" s="24"/>
      <c r="D653" s="24"/>
      <c r="F653" s="24"/>
    </row>
    <row r="654">
      <c r="B654" s="24"/>
      <c r="D654" s="24"/>
      <c r="F654" s="24"/>
    </row>
    <row r="655">
      <c r="B655" s="24"/>
      <c r="D655" s="24"/>
      <c r="F655" s="24"/>
    </row>
    <row r="656">
      <c r="B656" s="24"/>
      <c r="D656" s="24"/>
      <c r="F656" s="24"/>
    </row>
    <row r="657">
      <c r="B657" s="24"/>
      <c r="D657" s="24"/>
      <c r="F657" s="24"/>
    </row>
    <row r="658">
      <c r="B658" s="24"/>
      <c r="D658" s="24"/>
      <c r="F658" s="24"/>
    </row>
    <row r="659">
      <c r="B659" s="24"/>
      <c r="D659" s="24"/>
      <c r="F659" s="24"/>
    </row>
    <row r="660">
      <c r="B660" s="24"/>
      <c r="D660" s="24"/>
      <c r="F660" s="24"/>
    </row>
    <row r="661">
      <c r="B661" s="24"/>
      <c r="D661" s="24"/>
      <c r="F661" s="24"/>
    </row>
    <row r="662">
      <c r="B662" s="24"/>
      <c r="D662" s="24"/>
      <c r="F662" s="24"/>
    </row>
    <row r="663">
      <c r="B663" s="24"/>
      <c r="D663" s="24"/>
      <c r="F663" s="24"/>
    </row>
    <row r="664">
      <c r="B664" s="24"/>
      <c r="D664" s="24"/>
      <c r="F664" s="24"/>
    </row>
    <row r="665">
      <c r="B665" s="24"/>
      <c r="D665" s="24"/>
      <c r="F665" s="24"/>
    </row>
    <row r="666">
      <c r="B666" s="24"/>
      <c r="D666" s="24"/>
      <c r="F666" s="24"/>
    </row>
    <row r="667">
      <c r="B667" s="24"/>
      <c r="D667" s="24"/>
      <c r="F667" s="24"/>
    </row>
    <row r="668">
      <c r="B668" s="24"/>
      <c r="D668" s="24"/>
      <c r="F668" s="24"/>
    </row>
    <row r="669">
      <c r="B669" s="24"/>
      <c r="D669" s="24"/>
      <c r="F669" s="24"/>
    </row>
    <row r="670">
      <c r="B670" s="24"/>
      <c r="D670" s="24"/>
      <c r="F670" s="24"/>
    </row>
    <row r="671">
      <c r="B671" s="24"/>
      <c r="D671" s="24"/>
      <c r="F671" s="24"/>
    </row>
    <row r="672">
      <c r="B672" s="24"/>
      <c r="D672" s="24"/>
      <c r="F672" s="24"/>
    </row>
    <row r="673">
      <c r="B673" s="24"/>
      <c r="D673" s="24"/>
      <c r="F673" s="24"/>
    </row>
    <row r="674">
      <c r="B674" s="24"/>
      <c r="D674" s="24"/>
      <c r="F674" s="24"/>
    </row>
    <row r="675">
      <c r="B675" s="24"/>
      <c r="D675" s="24"/>
      <c r="F675" s="24"/>
    </row>
    <row r="676">
      <c r="B676" s="24"/>
      <c r="D676" s="24"/>
      <c r="F676" s="24"/>
    </row>
    <row r="677">
      <c r="B677" s="24"/>
      <c r="D677" s="24"/>
      <c r="F677" s="24"/>
    </row>
    <row r="678">
      <c r="B678" s="24"/>
      <c r="D678" s="24"/>
      <c r="F678" s="24"/>
    </row>
    <row r="679">
      <c r="B679" s="24"/>
      <c r="D679" s="24"/>
      <c r="F679" s="24"/>
    </row>
    <row r="680">
      <c r="B680" s="24"/>
      <c r="D680" s="24"/>
      <c r="F680" s="24"/>
    </row>
    <row r="681">
      <c r="B681" s="24"/>
      <c r="D681" s="24"/>
      <c r="F681" s="24"/>
    </row>
    <row r="682">
      <c r="B682" s="24"/>
      <c r="D682" s="24"/>
      <c r="F682" s="24"/>
    </row>
    <row r="683">
      <c r="B683" s="24"/>
      <c r="D683" s="24"/>
      <c r="F683" s="24"/>
    </row>
    <row r="684">
      <c r="B684" s="24"/>
      <c r="D684" s="24"/>
      <c r="F684" s="24"/>
    </row>
    <row r="685">
      <c r="B685" s="24"/>
      <c r="D685" s="24"/>
      <c r="F685" s="24"/>
    </row>
    <row r="686">
      <c r="B686" s="24"/>
      <c r="D686" s="24"/>
      <c r="F686" s="24"/>
    </row>
    <row r="687">
      <c r="B687" s="24"/>
      <c r="D687" s="24"/>
      <c r="F687" s="24"/>
    </row>
    <row r="688">
      <c r="B688" s="24"/>
      <c r="D688" s="24"/>
      <c r="F688" s="24"/>
    </row>
    <row r="689">
      <c r="B689" s="24"/>
      <c r="D689" s="24"/>
      <c r="F689" s="24"/>
    </row>
    <row r="690">
      <c r="B690" s="24"/>
      <c r="D690" s="24"/>
      <c r="F690" s="24"/>
    </row>
    <row r="691">
      <c r="B691" s="24"/>
      <c r="D691" s="24"/>
      <c r="F691" s="24"/>
    </row>
    <row r="692">
      <c r="B692" s="24"/>
      <c r="D692" s="24"/>
      <c r="F692" s="24"/>
    </row>
    <row r="693">
      <c r="B693" s="24"/>
      <c r="D693" s="24"/>
      <c r="F693" s="24"/>
    </row>
    <row r="694">
      <c r="B694" s="24"/>
      <c r="D694" s="24"/>
      <c r="F694" s="24"/>
    </row>
    <row r="695">
      <c r="B695" s="24"/>
      <c r="D695" s="24"/>
      <c r="F695" s="24"/>
    </row>
    <row r="696">
      <c r="B696" s="24"/>
      <c r="D696" s="24"/>
      <c r="F696" s="24"/>
    </row>
    <row r="697">
      <c r="B697" s="24"/>
      <c r="D697" s="24"/>
      <c r="F697" s="24"/>
    </row>
    <row r="698">
      <c r="B698" s="24"/>
      <c r="D698" s="24"/>
      <c r="F698" s="24"/>
    </row>
    <row r="699">
      <c r="B699" s="24"/>
      <c r="D699" s="24"/>
      <c r="F699" s="24"/>
    </row>
    <row r="700">
      <c r="B700" s="24"/>
      <c r="D700" s="24"/>
      <c r="F700" s="24"/>
    </row>
    <row r="701">
      <c r="B701" s="24"/>
      <c r="D701" s="24"/>
      <c r="F701" s="24"/>
    </row>
    <row r="702">
      <c r="B702" s="24"/>
      <c r="D702" s="24"/>
      <c r="F702" s="24"/>
    </row>
    <row r="703">
      <c r="B703" s="24"/>
      <c r="D703" s="24"/>
      <c r="F703" s="24"/>
    </row>
    <row r="704">
      <c r="B704" s="24"/>
      <c r="D704" s="24"/>
      <c r="F704" s="24"/>
    </row>
    <row r="705">
      <c r="B705" s="24"/>
      <c r="D705" s="24"/>
      <c r="F705" s="24"/>
    </row>
    <row r="706">
      <c r="B706" s="24"/>
      <c r="D706" s="24"/>
      <c r="F706" s="24"/>
    </row>
    <row r="707">
      <c r="B707" s="24"/>
      <c r="D707" s="24"/>
      <c r="F707" s="24"/>
    </row>
    <row r="708">
      <c r="B708" s="24"/>
      <c r="D708" s="24"/>
      <c r="F708" s="24"/>
    </row>
    <row r="709">
      <c r="B709" s="24"/>
      <c r="D709" s="24"/>
      <c r="F709" s="24"/>
    </row>
    <row r="710">
      <c r="B710" s="24"/>
      <c r="D710" s="24"/>
      <c r="F710" s="24"/>
    </row>
    <row r="711">
      <c r="B711" s="24"/>
      <c r="D711" s="24"/>
      <c r="F711" s="24"/>
    </row>
    <row r="712">
      <c r="B712" s="24"/>
      <c r="D712" s="24"/>
      <c r="F712" s="24"/>
    </row>
    <row r="713">
      <c r="B713" s="24"/>
      <c r="D713" s="24"/>
      <c r="F713" s="24"/>
    </row>
    <row r="714">
      <c r="B714" s="24"/>
      <c r="D714" s="24"/>
      <c r="F714" s="24"/>
    </row>
    <row r="715">
      <c r="B715" s="24"/>
      <c r="D715" s="24"/>
      <c r="F715" s="24"/>
    </row>
    <row r="716">
      <c r="B716" s="24"/>
      <c r="D716" s="24"/>
      <c r="F716" s="24"/>
    </row>
    <row r="717">
      <c r="B717" s="24"/>
      <c r="D717" s="24"/>
      <c r="F717" s="24"/>
    </row>
    <row r="718">
      <c r="B718" s="24"/>
      <c r="D718" s="24"/>
      <c r="F718" s="24"/>
    </row>
    <row r="719">
      <c r="B719" s="24"/>
      <c r="D719" s="24"/>
      <c r="F719" s="24"/>
    </row>
    <row r="720">
      <c r="B720" s="24"/>
      <c r="D720" s="24"/>
      <c r="F720" s="24"/>
    </row>
    <row r="721">
      <c r="B721" s="24"/>
      <c r="D721" s="24"/>
      <c r="F721" s="24"/>
    </row>
    <row r="722">
      <c r="B722" s="24"/>
      <c r="D722" s="24"/>
      <c r="F722" s="24"/>
    </row>
    <row r="723">
      <c r="B723" s="24"/>
      <c r="D723" s="24"/>
      <c r="F723" s="24"/>
    </row>
    <row r="724">
      <c r="B724" s="24"/>
      <c r="D724" s="24"/>
      <c r="F724" s="24"/>
    </row>
    <row r="725">
      <c r="B725" s="24"/>
      <c r="D725" s="24"/>
      <c r="F725" s="24"/>
    </row>
    <row r="726">
      <c r="B726" s="24"/>
      <c r="D726" s="24"/>
      <c r="F726" s="24"/>
    </row>
    <row r="727">
      <c r="B727" s="24"/>
      <c r="D727" s="24"/>
      <c r="F727" s="24"/>
    </row>
    <row r="728">
      <c r="B728" s="24"/>
      <c r="D728" s="24"/>
      <c r="F728" s="24"/>
    </row>
    <row r="729">
      <c r="B729" s="24"/>
      <c r="D729" s="24"/>
      <c r="F729" s="24"/>
    </row>
    <row r="730">
      <c r="B730" s="24"/>
      <c r="D730" s="24"/>
      <c r="F730" s="24"/>
    </row>
    <row r="731">
      <c r="B731" s="24"/>
      <c r="D731" s="24"/>
      <c r="F731" s="24"/>
    </row>
    <row r="732">
      <c r="B732" s="24"/>
      <c r="D732" s="24"/>
      <c r="F732" s="24"/>
    </row>
    <row r="733">
      <c r="B733" s="24"/>
      <c r="D733" s="24"/>
      <c r="F733" s="24"/>
    </row>
    <row r="734">
      <c r="B734" s="24"/>
      <c r="D734" s="24"/>
      <c r="F734" s="24"/>
    </row>
    <row r="735">
      <c r="B735" s="24"/>
      <c r="D735" s="24"/>
      <c r="F735" s="24"/>
    </row>
    <row r="736">
      <c r="B736" s="24"/>
      <c r="D736" s="24"/>
      <c r="F736" s="24"/>
    </row>
    <row r="737">
      <c r="B737" s="24"/>
      <c r="D737" s="24"/>
      <c r="F737" s="24"/>
    </row>
    <row r="738">
      <c r="B738" s="24"/>
      <c r="D738" s="24"/>
      <c r="F738" s="24"/>
    </row>
    <row r="739">
      <c r="B739" s="24"/>
      <c r="D739" s="24"/>
      <c r="F739" s="24"/>
    </row>
    <row r="740">
      <c r="B740" s="24"/>
      <c r="D740" s="24"/>
      <c r="F740" s="24"/>
    </row>
    <row r="741">
      <c r="B741" s="24"/>
      <c r="D741" s="24"/>
      <c r="F741" s="24"/>
    </row>
    <row r="742">
      <c r="B742" s="24"/>
      <c r="D742" s="24"/>
      <c r="F742" s="24"/>
    </row>
    <row r="743">
      <c r="B743" s="24"/>
      <c r="D743" s="24"/>
      <c r="F743" s="24"/>
    </row>
    <row r="744">
      <c r="B744" s="24"/>
      <c r="D744" s="24"/>
      <c r="F744" s="24"/>
    </row>
    <row r="745">
      <c r="B745" s="24"/>
      <c r="D745" s="24"/>
      <c r="F745" s="24"/>
    </row>
    <row r="746">
      <c r="B746" s="24"/>
      <c r="D746" s="24"/>
      <c r="F746" s="24"/>
    </row>
    <row r="747">
      <c r="B747" s="24"/>
      <c r="D747" s="24"/>
      <c r="F747" s="24"/>
    </row>
    <row r="748">
      <c r="B748" s="24"/>
      <c r="D748" s="24"/>
      <c r="F748" s="24"/>
    </row>
    <row r="749">
      <c r="B749" s="24"/>
      <c r="D749" s="24"/>
      <c r="F749" s="24"/>
    </row>
    <row r="750">
      <c r="B750" s="24"/>
      <c r="D750" s="24"/>
      <c r="F750" s="24"/>
    </row>
    <row r="751">
      <c r="B751" s="24"/>
      <c r="D751" s="24"/>
      <c r="F751" s="24"/>
    </row>
    <row r="752">
      <c r="B752" s="24"/>
      <c r="D752" s="24"/>
      <c r="F752" s="24"/>
    </row>
    <row r="753">
      <c r="B753" s="24"/>
      <c r="D753" s="24"/>
      <c r="F753" s="24"/>
    </row>
    <row r="754">
      <c r="B754" s="24"/>
      <c r="D754" s="24"/>
      <c r="F754" s="24"/>
    </row>
    <row r="755">
      <c r="B755" s="24"/>
      <c r="D755" s="24"/>
      <c r="F755" s="24"/>
    </row>
    <row r="756">
      <c r="B756" s="24"/>
      <c r="D756" s="24"/>
      <c r="F756" s="24"/>
    </row>
    <row r="757">
      <c r="B757" s="24"/>
      <c r="D757" s="24"/>
      <c r="F757" s="24"/>
    </row>
    <row r="758">
      <c r="B758" s="24"/>
      <c r="D758" s="24"/>
      <c r="F758" s="24"/>
    </row>
    <row r="759">
      <c r="B759" s="24"/>
      <c r="D759" s="24"/>
      <c r="F759" s="24"/>
    </row>
    <row r="760">
      <c r="B760" s="24"/>
      <c r="D760" s="24"/>
      <c r="F760" s="24"/>
    </row>
    <row r="761">
      <c r="B761" s="24"/>
      <c r="D761" s="24"/>
      <c r="F761" s="24"/>
    </row>
    <row r="762">
      <c r="B762" s="24"/>
      <c r="D762" s="24"/>
      <c r="F762" s="24"/>
    </row>
    <row r="763">
      <c r="B763" s="24"/>
      <c r="D763" s="24"/>
      <c r="F763" s="24"/>
    </row>
    <row r="764">
      <c r="B764" s="24"/>
      <c r="D764" s="24"/>
      <c r="F764" s="24"/>
    </row>
    <row r="765">
      <c r="B765" s="24"/>
      <c r="D765" s="24"/>
      <c r="F765" s="24"/>
    </row>
    <row r="766">
      <c r="B766" s="24"/>
      <c r="D766" s="24"/>
      <c r="F766" s="24"/>
    </row>
    <row r="767">
      <c r="B767" s="24"/>
      <c r="D767" s="24"/>
      <c r="F767" s="24"/>
    </row>
    <row r="768">
      <c r="B768" s="24"/>
      <c r="D768" s="24"/>
      <c r="F768" s="24"/>
    </row>
    <row r="769">
      <c r="B769" s="24"/>
      <c r="D769" s="24"/>
      <c r="F769" s="24"/>
    </row>
    <row r="770">
      <c r="B770" s="24"/>
      <c r="D770" s="24"/>
      <c r="F770" s="24"/>
    </row>
    <row r="771">
      <c r="B771" s="24"/>
      <c r="D771" s="24"/>
      <c r="F771" s="24"/>
    </row>
    <row r="772">
      <c r="B772" s="24"/>
      <c r="D772" s="24"/>
      <c r="F772" s="24"/>
    </row>
    <row r="773">
      <c r="B773" s="24"/>
      <c r="D773" s="24"/>
      <c r="F773" s="24"/>
    </row>
    <row r="774">
      <c r="B774" s="24"/>
      <c r="D774" s="24"/>
      <c r="F774" s="24"/>
    </row>
    <row r="775">
      <c r="B775" s="24"/>
      <c r="D775" s="24"/>
      <c r="F775" s="24"/>
    </row>
    <row r="776">
      <c r="B776" s="24"/>
      <c r="D776" s="24"/>
      <c r="F776" s="24"/>
    </row>
    <row r="777">
      <c r="B777" s="24"/>
      <c r="D777" s="24"/>
      <c r="F777" s="24"/>
    </row>
    <row r="778">
      <c r="B778" s="24"/>
      <c r="D778" s="24"/>
      <c r="F778" s="24"/>
    </row>
    <row r="779">
      <c r="B779" s="24"/>
      <c r="D779" s="24"/>
      <c r="F779" s="24"/>
    </row>
    <row r="780">
      <c r="B780" s="24"/>
      <c r="D780" s="24"/>
      <c r="F780" s="24"/>
    </row>
    <row r="781">
      <c r="B781" s="24"/>
      <c r="D781" s="24"/>
      <c r="F781" s="24"/>
    </row>
    <row r="782">
      <c r="B782" s="24"/>
      <c r="D782" s="24"/>
      <c r="F782" s="24"/>
    </row>
    <row r="783">
      <c r="B783" s="24"/>
      <c r="D783" s="24"/>
      <c r="F783" s="24"/>
    </row>
    <row r="784">
      <c r="B784" s="24"/>
      <c r="D784" s="24"/>
      <c r="F784" s="24"/>
    </row>
    <row r="785">
      <c r="B785" s="24"/>
      <c r="D785" s="24"/>
      <c r="F785" s="24"/>
    </row>
    <row r="786">
      <c r="B786" s="24"/>
      <c r="D786" s="24"/>
      <c r="F786" s="24"/>
    </row>
    <row r="787">
      <c r="B787" s="24"/>
      <c r="D787" s="24"/>
      <c r="F787" s="24"/>
    </row>
    <row r="788">
      <c r="B788" s="24"/>
      <c r="D788" s="24"/>
      <c r="F788" s="24"/>
    </row>
    <row r="789">
      <c r="B789" s="24"/>
      <c r="D789" s="24"/>
      <c r="F789" s="24"/>
    </row>
    <row r="790">
      <c r="B790" s="24"/>
      <c r="D790" s="24"/>
      <c r="F790" s="24"/>
    </row>
    <row r="791">
      <c r="B791" s="24"/>
      <c r="D791" s="24"/>
      <c r="F791" s="24"/>
    </row>
    <row r="792">
      <c r="B792" s="24"/>
      <c r="D792" s="24"/>
      <c r="F792" s="24"/>
    </row>
    <row r="793">
      <c r="B793" s="24"/>
      <c r="D793" s="24"/>
      <c r="F793" s="24"/>
    </row>
    <row r="794">
      <c r="B794" s="24"/>
      <c r="D794" s="24"/>
      <c r="F794" s="24"/>
    </row>
    <row r="795">
      <c r="B795" s="24"/>
      <c r="D795" s="24"/>
      <c r="F795" s="24"/>
    </row>
    <row r="796">
      <c r="B796" s="24"/>
      <c r="D796" s="24"/>
      <c r="F796" s="24"/>
    </row>
    <row r="797">
      <c r="B797" s="24"/>
      <c r="D797" s="24"/>
      <c r="F797" s="24"/>
    </row>
    <row r="798">
      <c r="B798" s="24"/>
      <c r="D798" s="24"/>
      <c r="F798" s="24"/>
    </row>
    <row r="799">
      <c r="B799" s="24"/>
      <c r="D799" s="24"/>
      <c r="F799" s="24"/>
    </row>
    <row r="800">
      <c r="B800" s="24"/>
      <c r="D800" s="24"/>
      <c r="F800" s="24"/>
    </row>
    <row r="801">
      <c r="B801" s="24"/>
      <c r="D801" s="24"/>
      <c r="F801" s="24"/>
    </row>
    <row r="802">
      <c r="B802" s="24"/>
      <c r="D802" s="24"/>
      <c r="F802" s="24"/>
    </row>
    <row r="803">
      <c r="B803" s="24"/>
      <c r="D803" s="24"/>
      <c r="F803" s="24"/>
    </row>
    <row r="804">
      <c r="B804" s="24"/>
      <c r="D804" s="24"/>
      <c r="F804" s="24"/>
    </row>
    <row r="805">
      <c r="B805" s="24"/>
      <c r="D805" s="24"/>
      <c r="F805" s="24"/>
    </row>
    <row r="806">
      <c r="B806" s="24"/>
      <c r="D806" s="24"/>
      <c r="F806" s="24"/>
    </row>
    <row r="807">
      <c r="B807" s="24"/>
      <c r="D807" s="24"/>
      <c r="F807" s="24"/>
    </row>
    <row r="808">
      <c r="B808" s="24"/>
      <c r="D808" s="24"/>
      <c r="F808" s="24"/>
    </row>
    <row r="809">
      <c r="B809" s="24"/>
      <c r="D809" s="24"/>
      <c r="F809" s="24"/>
    </row>
    <row r="810">
      <c r="B810" s="24"/>
      <c r="D810" s="24"/>
      <c r="F810" s="24"/>
    </row>
    <row r="811">
      <c r="B811" s="24"/>
      <c r="D811" s="24"/>
      <c r="F811" s="24"/>
    </row>
    <row r="812">
      <c r="B812" s="24"/>
      <c r="D812" s="24"/>
      <c r="F812" s="24"/>
    </row>
    <row r="813">
      <c r="B813" s="24"/>
      <c r="D813" s="24"/>
      <c r="F813" s="24"/>
    </row>
    <row r="814">
      <c r="B814" s="24"/>
      <c r="D814" s="24"/>
      <c r="F814" s="24"/>
    </row>
    <row r="815">
      <c r="B815" s="24"/>
      <c r="D815" s="24"/>
      <c r="F815" s="24"/>
    </row>
    <row r="816">
      <c r="B816" s="24"/>
      <c r="D816" s="24"/>
      <c r="F816" s="24"/>
    </row>
    <row r="817">
      <c r="B817" s="24"/>
      <c r="D817" s="24"/>
      <c r="F817" s="24"/>
    </row>
    <row r="818">
      <c r="B818" s="24"/>
      <c r="D818" s="24"/>
      <c r="F818" s="24"/>
    </row>
    <row r="819">
      <c r="B819" s="24"/>
      <c r="D819" s="24"/>
      <c r="F819" s="24"/>
    </row>
    <row r="820">
      <c r="B820" s="24"/>
      <c r="D820" s="24"/>
      <c r="F820" s="24"/>
    </row>
    <row r="821">
      <c r="B821" s="24"/>
      <c r="D821" s="24"/>
      <c r="F821" s="24"/>
    </row>
    <row r="822">
      <c r="B822" s="24"/>
      <c r="D822" s="24"/>
      <c r="F822" s="24"/>
    </row>
    <row r="823">
      <c r="B823" s="24"/>
      <c r="D823" s="24"/>
      <c r="F823" s="24"/>
    </row>
    <row r="824">
      <c r="B824" s="24"/>
      <c r="D824" s="24"/>
      <c r="F824" s="24"/>
    </row>
    <row r="825">
      <c r="B825" s="24"/>
      <c r="D825" s="24"/>
      <c r="F825" s="24"/>
    </row>
    <row r="826">
      <c r="B826" s="24"/>
      <c r="D826" s="24"/>
      <c r="F826" s="24"/>
    </row>
    <row r="827">
      <c r="B827" s="24"/>
      <c r="D827" s="24"/>
      <c r="F827" s="24"/>
    </row>
    <row r="828">
      <c r="B828" s="24"/>
      <c r="D828" s="24"/>
      <c r="F828" s="24"/>
    </row>
    <row r="829">
      <c r="B829" s="24"/>
      <c r="D829" s="24"/>
      <c r="F829" s="24"/>
    </row>
    <row r="830">
      <c r="B830" s="24"/>
      <c r="D830" s="24"/>
      <c r="F830" s="24"/>
    </row>
    <row r="831">
      <c r="B831" s="24"/>
      <c r="D831" s="24"/>
      <c r="F831" s="24"/>
    </row>
    <row r="832">
      <c r="B832" s="24"/>
      <c r="D832" s="24"/>
      <c r="F832" s="24"/>
    </row>
    <row r="833">
      <c r="B833" s="24"/>
      <c r="D833" s="24"/>
      <c r="F833" s="24"/>
    </row>
    <row r="834">
      <c r="B834" s="24"/>
      <c r="D834" s="24"/>
      <c r="F834" s="24"/>
    </row>
    <row r="835">
      <c r="B835" s="24"/>
      <c r="D835" s="24"/>
      <c r="F835" s="24"/>
    </row>
    <row r="836">
      <c r="B836" s="24"/>
      <c r="D836" s="24"/>
      <c r="F836" s="24"/>
    </row>
    <row r="837">
      <c r="B837" s="24"/>
      <c r="D837" s="24"/>
      <c r="F837" s="24"/>
    </row>
    <row r="838">
      <c r="B838" s="24"/>
      <c r="D838" s="24"/>
      <c r="F838" s="24"/>
    </row>
    <row r="839">
      <c r="B839" s="24"/>
      <c r="D839" s="24"/>
      <c r="F839" s="24"/>
    </row>
    <row r="840">
      <c r="B840" s="24"/>
      <c r="D840" s="24"/>
      <c r="F840" s="24"/>
    </row>
    <row r="841">
      <c r="B841" s="24"/>
      <c r="D841" s="24"/>
      <c r="F841" s="24"/>
    </row>
    <row r="842">
      <c r="B842" s="24"/>
      <c r="D842" s="24"/>
      <c r="F842" s="24"/>
    </row>
    <row r="843">
      <c r="B843" s="24"/>
      <c r="D843" s="24"/>
      <c r="F843" s="24"/>
    </row>
    <row r="844">
      <c r="B844" s="24"/>
      <c r="D844" s="24"/>
      <c r="F844" s="24"/>
    </row>
    <row r="845">
      <c r="B845" s="24"/>
      <c r="D845" s="24"/>
      <c r="F845" s="24"/>
    </row>
    <row r="846">
      <c r="B846" s="24"/>
      <c r="D846" s="24"/>
      <c r="F846" s="24"/>
    </row>
    <row r="847">
      <c r="B847" s="24"/>
      <c r="D847" s="24"/>
      <c r="F847" s="24"/>
    </row>
    <row r="848">
      <c r="B848" s="24"/>
      <c r="D848" s="24"/>
      <c r="F848" s="24"/>
    </row>
    <row r="849">
      <c r="B849" s="24"/>
      <c r="D849" s="24"/>
      <c r="F849" s="24"/>
    </row>
    <row r="850">
      <c r="B850" s="24"/>
      <c r="D850" s="24"/>
      <c r="F850" s="24"/>
    </row>
    <row r="851">
      <c r="B851" s="24"/>
      <c r="D851" s="24"/>
      <c r="F851" s="24"/>
    </row>
    <row r="852">
      <c r="B852" s="24"/>
      <c r="D852" s="24"/>
      <c r="F852" s="24"/>
    </row>
    <row r="853">
      <c r="B853" s="24"/>
      <c r="D853" s="24"/>
      <c r="F853" s="24"/>
    </row>
    <row r="854">
      <c r="B854" s="24"/>
      <c r="D854" s="24"/>
      <c r="F854" s="24"/>
    </row>
    <row r="855">
      <c r="B855" s="24"/>
      <c r="D855" s="24"/>
      <c r="F855" s="24"/>
    </row>
    <row r="856">
      <c r="B856" s="24"/>
      <c r="D856" s="24"/>
      <c r="F856" s="24"/>
    </row>
    <row r="857">
      <c r="B857" s="24"/>
      <c r="D857" s="24"/>
      <c r="F857" s="24"/>
    </row>
    <row r="858">
      <c r="B858" s="24"/>
      <c r="D858" s="24"/>
      <c r="F858" s="24"/>
    </row>
    <row r="859">
      <c r="B859" s="24"/>
      <c r="D859" s="24"/>
      <c r="F859" s="24"/>
    </row>
    <row r="860">
      <c r="B860" s="24"/>
      <c r="D860" s="24"/>
      <c r="F860" s="24"/>
    </row>
    <row r="861">
      <c r="B861" s="24"/>
      <c r="D861" s="24"/>
      <c r="F861" s="24"/>
    </row>
    <row r="862">
      <c r="B862" s="24"/>
      <c r="D862" s="24"/>
      <c r="F862" s="24"/>
    </row>
    <row r="863">
      <c r="B863" s="24"/>
      <c r="D863" s="24"/>
      <c r="F863" s="24"/>
    </row>
    <row r="864">
      <c r="B864" s="24"/>
      <c r="D864" s="24"/>
      <c r="F864" s="24"/>
    </row>
    <row r="865">
      <c r="B865" s="24"/>
      <c r="D865" s="24"/>
      <c r="F865" s="24"/>
    </row>
    <row r="866">
      <c r="B866" s="24"/>
      <c r="D866" s="24"/>
      <c r="F866" s="24"/>
    </row>
    <row r="867">
      <c r="B867" s="24"/>
      <c r="D867" s="24"/>
      <c r="F867" s="24"/>
    </row>
    <row r="868">
      <c r="B868" s="24"/>
      <c r="D868" s="24"/>
      <c r="F868" s="24"/>
    </row>
    <row r="869">
      <c r="B869" s="24"/>
      <c r="D869" s="24"/>
      <c r="F869" s="24"/>
    </row>
    <row r="870">
      <c r="B870" s="24"/>
      <c r="D870" s="24"/>
      <c r="F870" s="24"/>
    </row>
    <row r="871">
      <c r="B871" s="24"/>
      <c r="D871" s="24"/>
      <c r="F871" s="24"/>
    </row>
    <row r="872">
      <c r="B872" s="24"/>
      <c r="D872" s="24"/>
      <c r="F872" s="24"/>
    </row>
    <row r="873">
      <c r="B873" s="24"/>
      <c r="D873" s="24"/>
      <c r="F873" s="24"/>
    </row>
    <row r="874">
      <c r="B874" s="24"/>
      <c r="D874" s="24"/>
      <c r="F874" s="24"/>
    </row>
    <row r="875">
      <c r="B875" s="24"/>
      <c r="D875" s="24"/>
      <c r="F875" s="24"/>
    </row>
    <row r="876">
      <c r="B876" s="24"/>
      <c r="D876" s="24"/>
      <c r="F876" s="24"/>
    </row>
    <row r="877">
      <c r="B877" s="24"/>
      <c r="D877" s="24"/>
      <c r="F877" s="24"/>
    </row>
    <row r="878">
      <c r="B878" s="24"/>
      <c r="D878" s="24"/>
      <c r="F878" s="24"/>
    </row>
    <row r="879">
      <c r="B879" s="24"/>
      <c r="D879" s="24"/>
      <c r="F879" s="24"/>
    </row>
    <row r="880">
      <c r="B880" s="24"/>
      <c r="D880" s="24"/>
      <c r="F880" s="24"/>
    </row>
    <row r="881">
      <c r="B881" s="24"/>
      <c r="D881" s="24"/>
      <c r="F881" s="24"/>
    </row>
    <row r="882">
      <c r="B882" s="24"/>
      <c r="D882" s="24"/>
      <c r="F882" s="24"/>
    </row>
    <row r="883">
      <c r="B883" s="24"/>
      <c r="D883" s="24"/>
      <c r="F883" s="24"/>
    </row>
    <row r="884">
      <c r="B884" s="24"/>
      <c r="D884" s="24"/>
      <c r="F884" s="24"/>
    </row>
    <row r="885">
      <c r="B885" s="24"/>
      <c r="D885" s="24"/>
      <c r="F885" s="24"/>
    </row>
    <row r="886">
      <c r="B886" s="24"/>
      <c r="D886" s="24"/>
      <c r="F886" s="24"/>
    </row>
    <row r="887">
      <c r="B887" s="24"/>
      <c r="D887" s="24"/>
      <c r="F887" s="24"/>
    </row>
    <row r="888">
      <c r="B888" s="24"/>
      <c r="D888" s="24"/>
      <c r="F888" s="24"/>
    </row>
    <row r="889">
      <c r="B889" s="24"/>
      <c r="D889" s="24"/>
      <c r="F889" s="24"/>
    </row>
    <row r="890">
      <c r="B890" s="24"/>
      <c r="D890" s="24"/>
      <c r="F890" s="24"/>
    </row>
    <row r="891">
      <c r="B891" s="24"/>
      <c r="D891" s="24"/>
      <c r="F891" s="24"/>
    </row>
    <row r="892">
      <c r="B892" s="24"/>
      <c r="D892" s="24"/>
      <c r="F892" s="24"/>
    </row>
    <row r="893">
      <c r="B893" s="24"/>
      <c r="D893" s="24"/>
      <c r="F893" s="24"/>
    </row>
    <row r="894">
      <c r="B894" s="24"/>
      <c r="D894" s="24"/>
      <c r="F894" s="24"/>
    </row>
    <row r="895">
      <c r="B895" s="24"/>
      <c r="D895" s="24"/>
      <c r="F895" s="24"/>
    </row>
    <row r="896">
      <c r="B896" s="24"/>
      <c r="D896" s="24"/>
      <c r="F896" s="24"/>
    </row>
    <row r="897">
      <c r="B897" s="24"/>
      <c r="D897" s="24"/>
      <c r="F897" s="24"/>
    </row>
    <row r="898">
      <c r="B898" s="24"/>
      <c r="D898" s="24"/>
      <c r="F898" s="24"/>
    </row>
    <row r="899">
      <c r="B899" s="24"/>
      <c r="D899" s="24"/>
      <c r="F899" s="24"/>
    </row>
    <row r="900">
      <c r="B900" s="24"/>
      <c r="D900" s="24"/>
      <c r="F900" s="24"/>
    </row>
    <row r="901">
      <c r="B901" s="24"/>
      <c r="D901" s="24"/>
      <c r="F901" s="24"/>
    </row>
    <row r="902">
      <c r="B902" s="24"/>
      <c r="D902" s="24"/>
      <c r="F902" s="24"/>
    </row>
    <row r="903">
      <c r="B903" s="24"/>
      <c r="D903" s="24"/>
      <c r="F903" s="24"/>
    </row>
    <row r="904">
      <c r="B904" s="24"/>
      <c r="D904" s="24"/>
      <c r="F904" s="24"/>
    </row>
    <row r="905">
      <c r="B905" s="24"/>
      <c r="D905" s="24"/>
      <c r="F905" s="24"/>
    </row>
    <row r="906">
      <c r="B906" s="24"/>
      <c r="D906" s="24"/>
      <c r="F906" s="24"/>
    </row>
    <row r="907">
      <c r="B907" s="24"/>
      <c r="D907" s="24"/>
      <c r="F907" s="24"/>
    </row>
    <row r="908">
      <c r="B908" s="24"/>
      <c r="D908" s="24"/>
      <c r="F908" s="24"/>
    </row>
    <row r="909">
      <c r="B909" s="24"/>
      <c r="D909" s="24"/>
      <c r="F909" s="24"/>
    </row>
    <row r="910">
      <c r="B910" s="24"/>
      <c r="D910" s="24"/>
      <c r="F910" s="24"/>
    </row>
    <row r="911">
      <c r="B911" s="24"/>
      <c r="D911" s="24"/>
      <c r="F911" s="24"/>
    </row>
    <row r="912">
      <c r="B912" s="24"/>
      <c r="D912" s="24"/>
      <c r="F912" s="24"/>
    </row>
    <row r="913">
      <c r="B913" s="24"/>
      <c r="D913" s="24"/>
      <c r="F913" s="24"/>
    </row>
    <row r="914">
      <c r="B914" s="24"/>
      <c r="D914" s="24"/>
      <c r="F914" s="24"/>
    </row>
    <row r="915">
      <c r="B915" s="24"/>
      <c r="D915" s="24"/>
      <c r="F915" s="24"/>
    </row>
    <row r="916">
      <c r="B916" s="24"/>
      <c r="D916" s="24"/>
      <c r="F916" s="24"/>
    </row>
    <row r="917">
      <c r="B917" s="24"/>
      <c r="D917" s="24"/>
      <c r="F917" s="24"/>
    </row>
    <row r="918">
      <c r="B918" s="24"/>
      <c r="D918" s="24"/>
      <c r="F918" s="24"/>
    </row>
    <row r="919">
      <c r="B919" s="24"/>
      <c r="D919" s="24"/>
      <c r="F919" s="24"/>
    </row>
    <row r="920">
      <c r="B920" s="24"/>
      <c r="D920" s="24"/>
      <c r="F920" s="24"/>
    </row>
    <row r="921">
      <c r="B921" s="24"/>
      <c r="D921" s="24"/>
      <c r="F921" s="24"/>
    </row>
    <row r="922">
      <c r="B922" s="24"/>
      <c r="D922" s="24"/>
      <c r="F922" s="24"/>
    </row>
    <row r="923">
      <c r="B923" s="24"/>
      <c r="D923" s="24"/>
      <c r="F923" s="24"/>
    </row>
    <row r="924">
      <c r="B924" s="24"/>
      <c r="D924" s="24"/>
      <c r="F924" s="24"/>
    </row>
    <row r="925">
      <c r="B925" s="24"/>
      <c r="D925" s="24"/>
      <c r="F925" s="24"/>
    </row>
    <row r="926">
      <c r="B926" s="24"/>
      <c r="D926" s="24"/>
      <c r="F926" s="24"/>
    </row>
    <row r="927">
      <c r="B927" s="24"/>
      <c r="D927" s="24"/>
      <c r="F927" s="24"/>
    </row>
    <row r="928">
      <c r="B928" s="24"/>
      <c r="D928" s="24"/>
      <c r="F928" s="24"/>
    </row>
    <row r="929">
      <c r="B929" s="24"/>
      <c r="D929" s="24"/>
      <c r="F929" s="24"/>
    </row>
    <row r="930">
      <c r="B930" s="24"/>
      <c r="D930" s="24"/>
      <c r="F930" s="24"/>
    </row>
    <row r="931">
      <c r="B931" s="24"/>
      <c r="D931" s="24"/>
      <c r="F931" s="24"/>
    </row>
    <row r="932">
      <c r="B932" s="24"/>
      <c r="D932" s="24"/>
      <c r="F932" s="24"/>
    </row>
    <row r="933">
      <c r="B933" s="24"/>
      <c r="D933" s="24"/>
      <c r="F933" s="24"/>
    </row>
    <row r="934">
      <c r="B934" s="24"/>
      <c r="D934" s="24"/>
      <c r="F934" s="24"/>
    </row>
    <row r="935">
      <c r="B935" s="24"/>
      <c r="D935" s="24"/>
      <c r="F935" s="24"/>
    </row>
    <row r="936">
      <c r="B936" s="24"/>
      <c r="D936" s="24"/>
      <c r="F936" s="24"/>
    </row>
    <row r="937">
      <c r="B937" s="24"/>
      <c r="D937" s="24"/>
      <c r="F937" s="24"/>
    </row>
    <row r="938">
      <c r="B938" s="24"/>
      <c r="D938" s="24"/>
      <c r="F938" s="24"/>
    </row>
    <row r="939">
      <c r="B939" s="24"/>
      <c r="D939" s="24"/>
      <c r="F939" s="24"/>
    </row>
    <row r="940">
      <c r="B940" s="24"/>
      <c r="D940" s="24"/>
      <c r="F940" s="24"/>
    </row>
    <row r="941">
      <c r="B941" s="24"/>
      <c r="D941" s="24"/>
      <c r="F941" s="24"/>
    </row>
    <row r="942">
      <c r="B942" s="24"/>
      <c r="D942" s="24"/>
      <c r="F942" s="24"/>
    </row>
    <row r="943">
      <c r="B943" s="24"/>
      <c r="D943" s="24"/>
      <c r="F943" s="24"/>
    </row>
    <row r="944">
      <c r="B944" s="24"/>
      <c r="D944" s="24"/>
      <c r="F944" s="24"/>
    </row>
    <row r="945">
      <c r="B945" s="24"/>
      <c r="D945" s="24"/>
      <c r="F945" s="24"/>
    </row>
    <row r="946">
      <c r="B946" s="24"/>
      <c r="D946" s="24"/>
      <c r="F946" s="24"/>
    </row>
    <row r="947">
      <c r="B947" s="24"/>
      <c r="D947" s="24"/>
      <c r="F947" s="24"/>
    </row>
    <row r="948">
      <c r="B948" s="24"/>
      <c r="D948" s="24"/>
      <c r="F948" s="24"/>
    </row>
    <row r="949">
      <c r="B949" s="24"/>
      <c r="D949" s="24"/>
      <c r="F949" s="24"/>
    </row>
    <row r="950">
      <c r="B950" s="24"/>
      <c r="D950" s="24"/>
      <c r="F950" s="24"/>
    </row>
    <row r="951">
      <c r="B951" s="24"/>
      <c r="D951" s="24"/>
      <c r="F951" s="24"/>
    </row>
    <row r="952">
      <c r="B952" s="24"/>
      <c r="D952" s="24"/>
      <c r="F952" s="24"/>
    </row>
    <row r="953">
      <c r="B953" s="24"/>
      <c r="D953" s="24"/>
      <c r="F953" s="24"/>
    </row>
    <row r="954">
      <c r="B954" s="24"/>
      <c r="D954" s="24"/>
      <c r="F954" s="24"/>
    </row>
    <row r="955">
      <c r="B955" s="24"/>
      <c r="D955" s="24"/>
      <c r="F955" s="24"/>
    </row>
    <row r="956">
      <c r="B956" s="24"/>
      <c r="D956" s="24"/>
      <c r="F956" s="24"/>
    </row>
    <row r="957">
      <c r="B957" s="24"/>
      <c r="D957" s="24"/>
      <c r="F957" s="24"/>
    </row>
    <row r="958">
      <c r="B958" s="24"/>
      <c r="D958" s="24"/>
      <c r="F958" s="24"/>
    </row>
    <row r="959">
      <c r="B959" s="24"/>
      <c r="D959" s="24"/>
      <c r="F959" s="24"/>
    </row>
    <row r="960">
      <c r="B960" s="24"/>
      <c r="D960" s="24"/>
      <c r="F960" s="24"/>
    </row>
    <row r="961">
      <c r="B961" s="24"/>
      <c r="D961" s="24"/>
      <c r="F961" s="24"/>
    </row>
    <row r="962">
      <c r="B962" s="24"/>
      <c r="D962" s="24"/>
      <c r="F962" s="24"/>
    </row>
    <row r="963">
      <c r="B963" s="24"/>
      <c r="D963" s="24"/>
      <c r="F963" s="24"/>
    </row>
    <row r="964">
      <c r="B964" s="24"/>
      <c r="D964" s="24"/>
      <c r="F964" s="24"/>
    </row>
    <row r="965">
      <c r="B965" s="24"/>
      <c r="D965" s="24"/>
      <c r="F965" s="24"/>
    </row>
    <row r="966">
      <c r="B966" s="24"/>
      <c r="D966" s="24"/>
      <c r="F966" s="24"/>
    </row>
    <row r="967">
      <c r="B967" s="24"/>
      <c r="D967" s="24"/>
      <c r="F967" s="24"/>
    </row>
    <row r="968">
      <c r="B968" s="24"/>
      <c r="D968" s="24"/>
      <c r="F968" s="24"/>
    </row>
    <row r="969">
      <c r="B969" s="24"/>
      <c r="D969" s="24"/>
      <c r="F969" s="24"/>
    </row>
    <row r="970">
      <c r="B970" s="24"/>
      <c r="D970" s="24"/>
      <c r="F970" s="24"/>
    </row>
    <row r="971">
      <c r="B971" s="24"/>
      <c r="D971" s="24"/>
      <c r="F971" s="24"/>
    </row>
    <row r="972">
      <c r="B972" s="24"/>
      <c r="D972" s="24"/>
      <c r="F972" s="24"/>
    </row>
    <row r="973">
      <c r="B973" s="24"/>
      <c r="D973" s="24"/>
      <c r="F973" s="24"/>
    </row>
    <row r="974">
      <c r="B974" s="24"/>
      <c r="D974" s="24"/>
      <c r="F974" s="24"/>
    </row>
    <row r="975">
      <c r="B975" s="24"/>
      <c r="D975" s="24"/>
      <c r="F975" s="24"/>
    </row>
    <row r="976">
      <c r="B976" s="24"/>
      <c r="D976" s="24"/>
      <c r="F976" s="24"/>
    </row>
    <row r="977">
      <c r="B977" s="24"/>
      <c r="D977" s="24"/>
      <c r="F977" s="24"/>
    </row>
    <row r="978">
      <c r="B978" s="24"/>
      <c r="D978" s="24"/>
      <c r="F978" s="24"/>
    </row>
    <row r="979">
      <c r="B979" s="24"/>
      <c r="D979" s="24"/>
      <c r="F979" s="24"/>
    </row>
    <row r="980">
      <c r="B980" s="24"/>
      <c r="D980" s="24"/>
      <c r="F980" s="24"/>
    </row>
    <row r="981">
      <c r="B981" s="24"/>
      <c r="D981" s="24"/>
      <c r="F981" s="24"/>
    </row>
    <row r="982">
      <c r="B982" s="24"/>
      <c r="D982" s="24"/>
      <c r="F982" s="24"/>
    </row>
    <row r="983">
      <c r="B983" s="24"/>
      <c r="D983" s="24"/>
      <c r="F983" s="24"/>
    </row>
    <row r="984">
      <c r="B984" s="24"/>
      <c r="D984" s="24"/>
      <c r="F984" s="24"/>
    </row>
    <row r="985">
      <c r="B985" s="24"/>
      <c r="D985" s="24"/>
      <c r="F985" s="24"/>
    </row>
    <row r="986">
      <c r="B986" s="24"/>
      <c r="D986" s="24"/>
      <c r="F986" s="24"/>
    </row>
    <row r="987">
      <c r="B987" s="24"/>
      <c r="D987" s="24"/>
      <c r="F987" s="24"/>
    </row>
    <row r="988">
      <c r="B988" s="24"/>
      <c r="D988" s="24"/>
      <c r="F988" s="24"/>
    </row>
    <row r="989">
      <c r="B989" s="24"/>
      <c r="D989" s="24"/>
      <c r="F989" s="24"/>
    </row>
    <row r="990">
      <c r="B990" s="24"/>
      <c r="D990" s="24"/>
      <c r="F990" s="24"/>
    </row>
    <row r="991">
      <c r="B991" s="24"/>
      <c r="D991" s="24"/>
      <c r="F991" s="24"/>
    </row>
    <row r="992">
      <c r="B992" s="24"/>
      <c r="D992" s="24"/>
      <c r="F992" s="24"/>
    </row>
    <row r="993">
      <c r="B993" s="24"/>
      <c r="D993" s="24"/>
      <c r="F993" s="24"/>
    </row>
    <row r="994">
      <c r="B994" s="24"/>
      <c r="D994" s="24"/>
      <c r="F994" s="24"/>
    </row>
    <row r="995">
      <c r="B995" s="24"/>
      <c r="D995" s="24"/>
      <c r="F995" s="24"/>
    </row>
    <row r="996">
      <c r="B996" s="24"/>
      <c r="D996" s="24"/>
      <c r="F996" s="24"/>
    </row>
    <row r="997">
      <c r="B997" s="24"/>
      <c r="D997" s="24"/>
      <c r="F997" s="24"/>
    </row>
    <row r="998">
      <c r="B998" s="24"/>
      <c r="D998" s="24"/>
      <c r="F998" s="24"/>
    </row>
    <row r="999">
      <c r="B999" s="24"/>
      <c r="D999" s="24"/>
      <c r="F999" s="24"/>
    </row>
    <row r="1000">
      <c r="B1000" s="24"/>
      <c r="D1000" s="24"/>
      <c r="F1000" s="24"/>
    </row>
  </sheetData>
  <mergeCells count="3">
    <mergeCell ref="A1:B1"/>
    <mergeCell ref="C1:D1"/>
    <mergeCell ref="E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22.13"/>
    <col customWidth="1" min="3" max="3" width="27.13"/>
    <col customWidth="1" min="4" max="4" width="22.13"/>
    <col customWidth="1" min="5" max="5" width="25.75"/>
    <col customWidth="1" min="6" max="6" width="22.13"/>
    <col customWidth="1" min="7" max="7" width="25.75"/>
    <col customWidth="1" min="8" max="8" width="27.13"/>
    <col customWidth="1" min="9" max="9" width="27.0"/>
    <col customWidth="1" min="10" max="10" width="20.63"/>
    <col customWidth="1" min="11" max="11" width="23.25"/>
  </cols>
  <sheetData>
    <row r="1" ht="15.0" customHeight="1">
      <c r="A1" s="62"/>
      <c r="B1" s="1">
        <v>2023.0</v>
      </c>
      <c r="C1" s="3"/>
      <c r="D1" s="1">
        <v>2024.0</v>
      </c>
      <c r="E1" s="3"/>
      <c r="F1" s="1">
        <v>2025.0</v>
      </c>
      <c r="G1" s="3"/>
      <c r="H1" s="63"/>
      <c r="I1" s="6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24"/>
      <c r="Z1" s="24"/>
    </row>
    <row r="2" ht="15.0" customHeight="1">
      <c r="A2" s="64" t="s">
        <v>18</v>
      </c>
      <c r="B2" s="31" t="s">
        <v>19</v>
      </c>
      <c r="C2" s="43" t="s">
        <v>23</v>
      </c>
      <c r="D2" s="31" t="s">
        <v>19</v>
      </c>
      <c r="E2" s="43" t="s">
        <v>23</v>
      </c>
      <c r="F2" s="31" t="s">
        <v>19</v>
      </c>
      <c r="G2" s="43" t="s">
        <v>23</v>
      </c>
      <c r="H2" s="65" t="s">
        <v>148</v>
      </c>
      <c r="I2" s="32" t="s">
        <v>151</v>
      </c>
      <c r="J2" s="47" t="s">
        <v>149</v>
      </c>
      <c r="K2" s="47" t="s">
        <v>150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24"/>
      <c r="Z2" s="24"/>
    </row>
    <row r="3" ht="15.0" customHeight="1">
      <c r="A3" s="66" t="s">
        <v>116</v>
      </c>
      <c r="B3" s="67">
        <v>1240.0</v>
      </c>
      <c r="C3" s="46">
        <v>27.02</v>
      </c>
      <c r="D3" s="67">
        <v>1410.0</v>
      </c>
      <c r="E3" s="46">
        <v>29.43</v>
      </c>
      <c r="F3" s="67">
        <v>1270.0</v>
      </c>
      <c r="G3" s="46">
        <v>35.27</v>
      </c>
      <c r="H3" s="35">
        <f t="shared" ref="H3:H52" si="1">((F3-B3)/B3)*100</f>
        <v>2.419354839</v>
      </c>
      <c r="I3" s="35">
        <v>30.53293856402666</v>
      </c>
      <c r="J3" s="48">
        <f>correl(H3:H52, I3:I52)</f>
        <v>-0.1831085588</v>
      </c>
      <c r="K3" s="48">
        <f>correl(H4:H52, I4:I52)</f>
        <v>-0.1733903256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5.0" customHeight="1">
      <c r="A4" s="66" t="s">
        <v>64</v>
      </c>
      <c r="B4" s="67">
        <v>5050.0</v>
      </c>
      <c r="C4" s="46">
        <v>26.56</v>
      </c>
      <c r="D4" s="67">
        <v>5380.0</v>
      </c>
      <c r="E4" s="46">
        <v>29.89</v>
      </c>
      <c r="F4" s="67">
        <v>5690.0</v>
      </c>
      <c r="G4" s="46">
        <v>32.02</v>
      </c>
      <c r="H4" s="35">
        <f t="shared" si="1"/>
        <v>12.67326733</v>
      </c>
      <c r="I4" s="35">
        <v>20.557228915662666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0" customHeight="1">
      <c r="A5" s="66" t="s">
        <v>78</v>
      </c>
      <c r="B5" s="67">
        <v>3380.0</v>
      </c>
      <c r="C5" s="46">
        <v>31.21</v>
      </c>
      <c r="D5" s="67">
        <v>3320.0</v>
      </c>
      <c r="E5" s="46">
        <v>34.36</v>
      </c>
      <c r="F5" s="67">
        <v>3780.0</v>
      </c>
      <c r="G5" s="46">
        <v>37.14</v>
      </c>
      <c r="H5" s="35">
        <f t="shared" si="1"/>
        <v>11.83431953</v>
      </c>
      <c r="I5" s="35">
        <v>19.000320410124957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0" customHeight="1">
      <c r="A6" s="66" t="s">
        <v>109</v>
      </c>
      <c r="B6" s="67">
        <v>9260.0</v>
      </c>
      <c r="C6" s="46">
        <v>41.03</v>
      </c>
      <c r="D6" s="67">
        <v>9830.0</v>
      </c>
      <c r="E6" s="46">
        <v>44.21</v>
      </c>
      <c r="F6" s="67">
        <v>10590.0</v>
      </c>
      <c r="G6" s="46">
        <v>47.96</v>
      </c>
      <c r="H6" s="35">
        <f t="shared" si="1"/>
        <v>14.36285097</v>
      </c>
      <c r="I6" s="35">
        <v>16.890080428954423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66" t="s">
        <v>54</v>
      </c>
      <c r="B7" s="67">
        <v>7230.0</v>
      </c>
      <c r="C7" s="46">
        <v>33.18</v>
      </c>
      <c r="D7" s="67">
        <v>7570.0</v>
      </c>
      <c r="E7" s="46">
        <v>35.66</v>
      </c>
      <c r="F7" s="67">
        <v>7710.0</v>
      </c>
      <c r="G7" s="46">
        <v>37.21</v>
      </c>
      <c r="H7" s="35">
        <f t="shared" si="1"/>
        <v>6.639004149</v>
      </c>
      <c r="I7" s="35">
        <v>12.145871006630504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66" t="s">
        <v>84</v>
      </c>
      <c r="B8" s="67">
        <v>24240.0</v>
      </c>
      <c r="C8" s="46">
        <v>31.67</v>
      </c>
      <c r="D8" s="67">
        <v>24670.0</v>
      </c>
      <c r="E8" s="46">
        <v>34.17</v>
      </c>
      <c r="F8" s="67">
        <v>23530.0</v>
      </c>
      <c r="G8" s="46">
        <v>35.5</v>
      </c>
      <c r="H8" s="35">
        <f t="shared" si="1"/>
        <v>-2.929042904</v>
      </c>
      <c r="I8" s="35">
        <v>12.093463845910952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0" customHeight="1">
      <c r="A9" s="66" t="s">
        <v>72</v>
      </c>
      <c r="B9" s="67">
        <v>5820.0</v>
      </c>
      <c r="C9" s="46">
        <v>29.85</v>
      </c>
      <c r="D9" s="67">
        <v>5640.0</v>
      </c>
      <c r="E9" s="46">
        <v>31.48</v>
      </c>
      <c r="F9" s="67">
        <v>6350.0</v>
      </c>
      <c r="G9" s="46">
        <v>33.27</v>
      </c>
      <c r="H9" s="35">
        <f t="shared" si="1"/>
        <v>9.10652921</v>
      </c>
      <c r="I9" s="35">
        <v>11.45728643216081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0" customHeight="1">
      <c r="A10" s="66" t="s">
        <v>92</v>
      </c>
      <c r="B10" s="67">
        <v>2890.0</v>
      </c>
      <c r="C10" s="46">
        <v>31.22</v>
      </c>
      <c r="D10" s="67">
        <v>2830.0</v>
      </c>
      <c r="E10" s="46">
        <v>32.73</v>
      </c>
      <c r="F10" s="67">
        <v>2750.0</v>
      </c>
      <c r="G10" s="46">
        <v>34.58</v>
      </c>
      <c r="H10" s="35">
        <f t="shared" si="1"/>
        <v>-4.844290657</v>
      </c>
      <c r="I10" s="35">
        <v>10.762331838565022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0" customHeight="1">
      <c r="A11" s="66" t="s">
        <v>102</v>
      </c>
      <c r="B11" s="67">
        <v>14350.0</v>
      </c>
      <c r="C11" s="46">
        <v>37.76</v>
      </c>
      <c r="D11" s="67">
        <v>15230.0</v>
      </c>
      <c r="E11" s="46">
        <v>38.51</v>
      </c>
      <c r="F11" s="67">
        <v>13520.0</v>
      </c>
      <c r="G11" s="46">
        <v>41.68</v>
      </c>
      <c r="H11" s="35">
        <f t="shared" si="1"/>
        <v>-5.783972125</v>
      </c>
      <c r="I11" s="35">
        <v>10.381355932203395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66" t="s">
        <v>96</v>
      </c>
      <c r="B12" s="67">
        <v>8370.0</v>
      </c>
      <c r="C12" s="46">
        <v>33.0</v>
      </c>
      <c r="D12" s="67">
        <v>8570.0</v>
      </c>
      <c r="E12" s="46">
        <v>34.67</v>
      </c>
      <c r="F12" s="67">
        <v>8350.0</v>
      </c>
      <c r="G12" s="46">
        <v>36.4</v>
      </c>
      <c r="H12" s="35">
        <f t="shared" si="1"/>
        <v>-0.238948626</v>
      </c>
      <c r="I12" s="35">
        <v>10.3030303030303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0" customHeight="1">
      <c r="A13" s="66" t="s">
        <v>117</v>
      </c>
      <c r="B13" s="67">
        <v>17200.0</v>
      </c>
      <c r="C13" s="46">
        <v>27.74</v>
      </c>
      <c r="D13" s="67">
        <v>19500.0</v>
      </c>
      <c r="E13" s="46">
        <v>28.62</v>
      </c>
      <c r="F13" s="67">
        <v>17070.0</v>
      </c>
      <c r="G13" s="46">
        <v>30.55</v>
      </c>
      <c r="H13" s="35">
        <f t="shared" si="1"/>
        <v>-0.7558139535</v>
      </c>
      <c r="I13" s="35">
        <v>10.129776496034616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0" customHeight="1">
      <c r="A14" s="66" t="s">
        <v>105</v>
      </c>
      <c r="B14" s="67">
        <v>2370.0</v>
      </c>
      <c r="C14" s="46">
        <v>32.69</v>
      </c>
      <c r="D14" s="67">
        <v>2710.0</v>
      </c>
      <c r="E14" s="46">
        <v>34.74</v>
      </c>
      <c r="F14" s="67">
        <v>2960.0</v>
      </c>
      <c r="G14" s="46">
        <v>35.99</v>
      </c>
      <c r="H14" s="35">
        <f t="shared" si="1"/>
        <v>24.89451477</v>
      </c>
      <c r="I14" s="35">
        <v>10.094830223309895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66" t="s">
        <v>58</v>
      </c>
      <c r="B15" s="67">
        <v>46690.0</v>
      </c>
      <c r="C15" s="46">
        <v>25.18</v>
      </c>
      <c r="D15" s="67">
        <v>47980.0</v>
      </c>
      <c r="E15" s="46">
        <v>26.68</v>
      </c>
      <c r="F15" s="67">
        <v>49700.0</v>
      </c>
      <c r="G15" s="46">
        <v>27.72</v>
      </c>
      <c r="H15" s="35">
        <f t="shared" si="1"/>
        <v>6.446776612</v>
      </c>
      <c r="I15" s="35">
        <v>10.087370929308973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66" t="s">
        <v>56</v>
      </c>
      <c r="B16" s="67">
        <v>2420.0</v>
      </c>
      <c r="C16" s="46">
        <v>30.93</v>
      </c>
      <c r="D16" s="67">
        <v>2220.0</v>
      </c>
      <c r="E16" s="46">
        <v>32.64</v>
      </c>
      <c r="F16" s="67">
        <v>2260.0</v>
      </c>
      <c r="G16" s="46">
        <v>34.02</v>
      </c>
      <c r="H16" s="35">
        <f t="shared" si="1"/>
        <v>-6.611570248</v>
      </c>
      <c r="I16" s="35">
        <v>9.990300678952485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66" t="s">
        <v>44</v>
      </c>
      <c r="B17" s="67">
        <v>1620.0</v>
      </c>
      <c r="C17" s="46">
        <v>39.5</v>
      </c>
      <c r="D17" s="67">
        <v>1820.0</v>
      </c>
      <c r="E17" s="46">
        <v>40.15</v>
      </c>
      <c r="F17" s="67">
        <v>1870.0</v>
      </c>
      <c r="G17" s="46">
        <v>43.29</v>
      </c>
      <c r="H17" s="35">
        <f t="shared" si="1"/>
        <v>15.43209877</v>
      </c>
      <c r="I17" s="35">
        <v>9.594936708860757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0" customHeight="1">
      <c r="A18" s="66" t="s">
        <v>134</v>
      </c>
      <c r="B18" s="67">
        <v>11350.0</v>
      </c>
      <c r="C18" s="46">
        <v>28.73</v>
      </c>
      <c r="D18" s="67">
        <v>11360.0</v>
      </c>
      <c r="E18" s="46">
        <v>30.3</v>
      </c>
      <c r="F18" s="67">
        <v>11450.0</v>
      </c>
      <c r="G18" s="46">
        <v>31.39</v>
      </c>
      <c r="H18" s="35">
        <f t="shared" si="1"/>
        <v>0.8810572687</v>
      </c>
      <c r="I18" s="35">
        <v>9.258614688478941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0" customHeight="1">
      <c r="A19" s="66" t="s">
        <v>80</v>
      </c>
      <c r="B19" s="67">
        <v>12930.0</v>
      </c>
      <c r="C19" s="46">
        <v>33.22</v>
      </c>
      <c r="D19" s="67">
        <v>14750.0</v>
      </c>
      <c r="E19" s="46">
        <v>34.8</v>
      </c>
      <c r="F19" s="67">
        <v>13690.0</v>
      </c>
      <c r="G19" s="46">
        <v>36.28</v>
      </c>
      <c r="H19" s="35">
        <f t="shared" si="1"/>
        <v>5.877803558</v>
      </c>
      <c r="I19" s="35">
        <v>9.21131848284167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0" customHeight="1">
      <c r="A20" s="66" t="s">
        <v>118</v>
      </c>
      <c r="B20" s="67">
        <v>2650.0</v>
      </c>
      <c r="C20" s="46">
        <v>27.3</v>
      </c>
      <c r="D20" s="67">
        <v>2790.0</v>
      </c>
      <c r="E20" s="46">
        <v>27.72</v>
      </c>
      <c r="F20" s="67">
        <v>2980.0</v>
      </c>
      <c r="G20" s="46">
        <v>29.8</v>
      </c>
      <c r="H20" s="35">
        <f t="shared" si="1"/>
        <v>12.45283019</v>
      </c>
      <c r="I20" s="35">
        <v>9.157509157509157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0" customHeight="1">
      <c r="A21" s="66" t="s">
        <v>100</v>
      </c>
      <c r="B21" s="67">
        <v>3450.0</v>
      </c>
      <c r="C21" s="46">
        <v>29.22</v>
      </c>
      <c r="D21" s="67">
        <v>3480.0</v>
      </c>
      <c r="E21" s="46">
        <v>30.5</v>
      </c>
      <c r="F21" s="67">
        <v>3330.0</v>
      </c>
      <c r="G21" s="46">
        <v>31.63</v>
      </c>
      <c r="H21" s="35">
        <f t="shared" si="1"/>
        <v>-3.47826087</v>
      </c>
      <c r="I21" s="35">
        <v>8.247775496235455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0" customHeight="1">
      <c r="A22" s="66" t="s">
        <v>46</v>
      </c>
      <c r="B22" s="67">
        <v>17640.0</v>
      </c>
      <c r="C22" s="46">
        <v>28.57</v>
      </c>
      <c r="D22" s="67">
        <v>21280.0</v>
      </c>
      <c r="E22" s="46">
        <v>29.58</v>
      </c>
      <c r="F22" s="67">
        <v>21140.0</v>
      </c>
      <c r="G22" s="46">
        <v>30.88</v>
      </c>
      <c r="H22" s="35">
        <f t="shared" si="1"/>
        <v>19.84126984</v>
      </c>
      <c r="I22" s="35">
        <v>8.085404270213505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0" customHeight="1">
      <c r="A23" s="66" t="s">
        <v>114</v>
      </c>
      <c r="B23" s="67">
        <v>2350.0</v>
      </c>
      <c r="C23" s="46">
        <v>33.1</v>
      </c>
      <c r="D23" s="67">
        <v>2300.0</v>
      </c>
      <c r="E23" s="46">
        <v>34.02</v>
      </c>
      <c r="F23" s="67">
        <v>2420.0</v>
      </c>
      <c r="G23" s="46">
        <v>35.65</v>
      </c>
      <c r="H23" s="35">
        <f t="shared" si="1"/>
        <v>2.978723404</v>
      </c>
      <c r="I23" s="35">
        <v>7.7039274924471215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0" customHeight="1">
      <c r="A24" s="66" t="s">
        <v>76</v>
      </c>
      <c r="B24" s="67">
        <v>11100.0</v>
      </c>
      <c r="C24" s="46">
        <v>27.88</v>
      </c>
      <c r="D24" s="67">
        <v>10810.0</v>
      </c>
      <c r="E24" s="46">
        <v>28.62</v>
      </c>
      <c r="F24" s="67">
        <v>10550.0</v>
      </c>
      <c r="G24" s="46">
        <v>29.98</v>
      </c>
      <c r="H24" s="35">
        <f t="shared" si="1"/>
        <v>-4.954954955</v>
      </c>
      <c r="I24" s="35">
        <v>7.532281205164998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0" customHeight="1">
      <c r="A25" s="66" t="s">
        <v>48</v>
      </c>
      <c r="B25" s="67">
        <v>7650.0</v>
      </c>
      <c r="C25" s="46">
        <v>23.94</v>
      </c>
      <c r="D25" s="67">
        <v>8670.0</v>
      </c>
      <c r="E25" s="46">
        <v>25.41</v>
      </c>
      <c r="F25" s="67">
        <v>7500.0</v>
      </c>
      <c r="G25" s="46">
        <v>25.71</v>
      </c>
      <c r="H25" s="35">
        <f t="shared" si="1"/>
        <v>-1.960784314</v>
      </c>
      <c r="I25" s="35">
        <v>7.393483709273181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0" customHeight="1">
      <c r="A26" s="66" t="s">
        <v>123</v>
      </c>
      <c r="B26" s="67">
        <v>24430.0</v>
      </c>
      <c r="C26" s="46">
        <v>30.94</v>
      </c>
      <c r="D26" s="67">
        <v>27150.0</v>
      </c>
      <c r="E26" s="46">
        <v>31.71</v>
      </c>
      <c r="F26" s="67">
        <v>28950.0</v>
      </c>
      <c r="G26" s="46">
        <v>33.09</v>
      </c>
      <c r="H26" s="35">
        <f t="shared" si="1"/>
        <v>18.501842</v>
      </c>
      <c r="I26" s="35">
        <v>6.948933419521662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0" customHeight="1">
      <c r="A27" s="66" t="s">
        <v>94</v>
      </c>
      <c r="B27" s="67">
        <v>6160.0</v>
      </c>
      <c r="C27" s="46">
        <v>28.79</v>
      </c>
      <c r="D27" s="67">
        <v>6210.0</v>
      </c>
      <c r="E27" s="46">
        <v>29.76</v>
      </c>
      <c r="F27" s="67">
        <v>6440.0</v>
      </c>
      <c r="G27" s="46">
        <v>30.75</v>
      </c>
      <c r="H27" s="35">
        <f t="shared" si="1"/>
        <v>4.545454545</v>
      </c>
      <c r="I27" s="35">
        <v>6.8079194164640535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0" customHeight="1">
      <c r="A28" s="66" t="s">
        <v>112</v>
      </c>
      <c r="B28" s="67">
        <v>7320.0</v>
      </c>
      <c r="C28" s="46">
        <v>26.61</v>
      </c>
      <c r="D28" s="67">
        <v>7830.0</v>
      </c>
      <c r="E28" s="46">
        <v>28.09</v>
      </c>
      <c r="F28" s="67">
        <v>8010.0</v>
      </c>
      <c r="G28" s="46">
        <v>28.38</v>
      </c>
      <c r="H28" s="35">
        <f t="shared" si="1"/>
        <v>9.426229508</v>
      </c>
      <c r="I28" s="35">
        <v>6.651634723788049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0" customHeight="1">
      <c r="A29" s="66" t="s">
        <v>108</v>
      </c>
      <c r="B29" s="67">
        <v>18820.0</v>
      </c>
      <c r="C29" s="46">
        <v>42.61</v>
      </c>
      <c r="D29" s="67">
        <v>18380.0</v>
      </c>
      <c r="E29" s="46">
        <v>45.12</v>
      </c>
      <c r="F29" s="67">
        <v>19380.0</v>
      </c>
      <c r="G29" s="46">
        <v>45.42</v>
      </c>
      <c r="H29" s="35">
        <f t="shared" si="1"/>
        <v>2.975557917</v>
      </c>
      <c r="I29" s="35">
        <v>6.594696080732228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0" customHeight="1">
      <c r="A30" s="66" t="s">
        <v>90</v>
      </c>
      <c r="B30" s="67">
        <v>12390.0</v>
      </c>
      <c r="C30" s="46">
        <v>32.62</v>
      </c>
      <c r="D30" s="67">
        <v>12660.0</v>
      </c>
      <c r="E30" s="46">
        <v>34.24</v>
      </c>
      <c r="F30" s="67">
        <v>12780.0</v>
      </c>
      <c r="G30" s="46">
        <v>34.77</v>
      </c>
      <c r="H30" s="35">
        <f t="shared" si="1"/>
        <v>3.147699758</v>
      </c>
      <c r="I30" s="35">
        <v>6.591048436542017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0" customHeight="1">
      <c r="A31" s="66" t="s">
        <v>119</v>
      </c>
      <c r="B31" s="67">
        <v>7220.0</v>
      </c>
      <c r="C31" s="46">
        <v>28.72</v>
      </c>
      <c r="D31" s="67">
        <v>8550.0</v>
      </c>
      <c r="E31" s="46">
        <v>30.21</v>
      </c>
      <c r="F31" s="67">
        <v>8500.0</v>
      </c>
      <c r="G31" s="46">
        <v>30.49</v>
      </c>
      <c r="H31" s="35">
        <f t="shared" si="1"/>
        <v>17.72853186</v>
      </c>
      <c r="I31" s="35">
        <v>6.162952646239553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66" t="s">
        <v>111</v>
      </c>
      <c r="B32" s="67">
        <v>21900.0</v>
      </c>
      <c r="C32" s="46">
        <v>25.78</v>
      </c>
      <c r="D32" s="67">
        <v>23660.0</v>
      </c>
      <c r="E32" s="46">
        <v>26.62</v>
      </c>
      <c r="F32" s="67">
        <v>21640.0</v>
      </c>
      <c r="G32" s="46">
        <v>27.33</v>
      </c>
      <c r="H32" s="35">
        <f t="shared" si="1"/>
        <v>-1.187214612</v>
      </c>
      <c r="I32" s="35">
        <v>6.0124127230411055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0" customHeight="1">
      <c r="A33" s="66" t="s">
        <v>52</v>
      </c>
      <c r="B33" s="67">
        <v>16110.0</v>
      </c>
      <c r="C33" s="46">
        <v>30.17</v>
      </c>
      <c r="D33" s="67">
        <v>17140.0</v>
      </c>
      <c r="E33" s="46">
        <v>31.07</v>
      </c>
      <c r="F33" s="67">
        <v>17010.0</v>
      </c>
      <c r="G33" s="46">
        <v>31.88</v>
      </c>
      <c r="H33" s="35">
        <f t="shared" si="1"/>
        <v>5.586592179</v>
      </c>
      <c r="I33" s="35">
        <v>5.667882001988722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0" customHeight="1">
      <c r="A34" s="66" t="s">
        <v>42</v>
      </c>
      <c r="B34" s="67">
        <v>10250.0</v>
      </c>
      <c r="C34" s="46">
        <v>26.2</v>
      </c>
      <c r="D34" s="67">
        <v>9740.0</v>
      </c>
      <c r="E34" s="46">
        <v>27.09</v>
      </c>
      <c r="F34" s="67">
        <v>10900.0</v>
      </c>
      <c r="G34" s="46">
        <v>27.65</v>
      </c>
      <c r="H34" s="35">
        <f t="shared" si="1"/>
        <v>6.341463415</v>
      </c>
      <c r="I34" s="35">
        <v>5.5343511450381655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66" t="s">
        <v>60</v>
      </c>
      <c r="B35" s="67">
        <v>21010.0</v>
      </c>
      <c r="C35" s="46">
        <v>27.85</v>
      </c>
      <c r="D35" s="67">
        <v>20740.0</v>
      </c>
      <c r="E35" s="46">
        <v>29.61</v>
      </c>
      <c r="F35" s="67">
        <v>21650.0</v>
      </c>
      <c r="G35" s="46">
        <v>29.37</v>
      </c>
      <c r="H35" s="35">
        <f t="shared" si="1"/>
        <v>3.046168491</v>
      </c>
      <c r="I35" s="35">
        <v>5.457809694793535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66" t="s">
        <v>62</v>
      </c>
      <c r="B36" s="67">
        <v>3300.0</v>
      </c>
      <c r="C36" s="46">
        <v>42.44</v>
      </c>
      <c r="D36" s="67">
        <v>3020.0</v>
      </c>
      <c r="E36" s="46">
        <v>41.68</v>
      </c>
      <c r="F36" s="67">
        <v>3070.0</v>
      </c>
      <c r="G36" s="46">
        <v>44.65</v>
      </c>
      <c r="H36" s="35">
        <f t="shared" si="1"/>
        <v>-6.96969697</v>
      </c>
      <c r="I36" s="35">
        <v>5.2073515551366665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66" t="s">
        <v>120</v>
      </c>
      <c r="B37" s="67">
        <v>70580.0</v>
      </c>
      <c r="C37" s="46">
        <v>27.09</v>
      </c>
      <c r="D37" s="67">
        <v>71880.0</v>
      </c>
      <c r="E37" s="46">
        <v>27.52</v>
      </c>
      <c r="F37" s="67">
        <v>76770.0</v>
      </c>
      <c r="G37" s="46">
        <v>28.5</v>
      </c>
      <c r="H37" s="35">
        <f t="shared" si="1"/>
        <v>8.770189855</v>
      </c>
      <c r="I37" s="35">
        <v>5.204872646733112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66" t="s">
        <v>121</v>
      </c>
      <c r="B38" s="67">
        <v>22150.0</v>
      </c>
      <c r="C38" s="46">
        <v>31.12</v>
      </c>
      <c r="D38" s="67">
        <v>24300.0</v>
      </c>
      <c r="E38" s="46">
        <v>32.03</v>
      </c>
      <c r="F38" s="67">
        <v>23630.0</v>
      </c>
      <c r="G38" s="46">
        <v>32.62</v>
      </c>
      <c r="H38" s="35">
        <f t="shared" si="1"/>
        <v>6.681715576</v>
      </c>
      <c r="I38" s="35">
        <v>4.820051413881736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66" t="s">
        <v>74</v>
      </c>
      <c r="B39" s="67">
        <v>9620.0</v>
      </c>
      <c r="C39" s="46">
        <v>28.18</v>
      </c>
      <c r="D39" s="67">
        <v>10320.0</v>
      </c>
      <c r="E39" s="46">
        <v>29.17</v>
      </c>
      <c r="F39" s="67">
        <v>11030.0</v>
      </c>
      <c r="G39" s="46">
        <v>29.52</v>
      </c>
      <c r="H39" s="35">
        <f t="shared" si="1"/>
        <v>14.65696466</v>
      </c>
      <c r="I39" s="35">
        <v>4.755145493257629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0" customHeight="1">
      <c r="A40" s="66" t="s">
        <v>66</v>
      </c>
      <c r="B40" s="67">
        <v>21890.0</v>
      </c>
      <c r="C40" s="46">
        <v>42.33</v>
      </c>
      <c r="D40" s="67">
        <v>22880.0</v>
      </c>
      <c r="E40" s="46">
        <v>42.88</v>
      </c>
      <c r="F40" s="67">
        <v>23120.0</v>
      </c>
      <c r="G40" s="46">
        <v>44.34</v>
      </c>
      <c r="H40" s="35">
        <f t="shared" si="1"/>
        <v>5.619004111</v>
      </c>
      <c r="I40" s="35">
        <v>4.748405386250898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0" customHeight="1">
      <c r="A41" s="66" t="s">
        <v>127</v>
      </c>
      <c r="B41" s="67">
        <v>20770.0</v>
      </c>
      <c r="C41" s="46">
        <v>35.15</v>
      </c>
      <c r="D41" s="67">
        <v>21860.0</v>
      </c>
      <c r="E41" s="46">
        <v>35.34</v>
      </c>
      <c r="F41" s="67">
        <v>22730.0</v>
      </c>
      <c r="G41" s="46">
        <v>36.43</v>
      </c>
      <c r="H41" s="35">
        <f t="shared" si="1"/>
        <v>9.43668753</v>
      </c>
      <c r="I41" s="35">
        <v>3.6415362731152237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0" customHeight="1">
      <c r="A42" s="66" t="s">
        <v>68</v>
      </c>
      <c r="B42" s="67">
        <v>15650.0</v>
      </c>
      <c r="C42" s="46">
        <v>32.91</v>
      </c>
      <c r="D42" s="67">
        <v>17370.0</v>
      </c>
      <c r="E42" s="46">
        <v>32.64</v>
      </c>
      <c r="F42" s="67">
        <v>19020.0</v>
      </c>
      <c r="G42" s="46">
        <v>34.05</v>
      </c>
      <c r="H42" s="35">
        <f t="shared" si="1"/>
        <v>21.53354633</v>
      </c>
      <c r="I42" s="35">
        <v>3.463992707383776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0" customHeight="1">
      <c r="A43" s="66" t="s">
        <v>139</v>
      </c>
      <c r="B43" s="67">
        <v>3560.0</v>
      </c>
      <c r="C43" s="46">
        <v>31.58</v>
      </c>
      <c r="D43" s="67">
        <v>4010.0</v>
      </c>
      <c r="E43" s="46">
        <v>31.68</v>
      </c>
      <c r="F43" s="67">
        <v>4290.0</v>
      </c>
      <c r="G43" s="46">
        <v>32.61</v>
      </c>
      <c r="H43" s="35">
        <f t="shared" si="1"/>
        <v>20.50561798</v>
      </c>
      <c r="I43" s="35">
        <v>3.2615579480684014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0" customHeight="1">
      <c r="A44" s="66" t="s">
        <v>86</v>
      </c>
      <c r="B44" s="67">
        <v>11280.0</v>
      </c>
      <c r="C44" s="46">
        <v>37.88</v>
      </c>
      <c r="D44" s="67">
        <v>12970.0</v>
      </c>
      <c r="E44" s="46">
        <v>39.92</v>
      </c>
      <c r="F44" s="67">
        <v>14350.0</v>
      </c>
      <c r="G44" s="46">
        <v>38.86</v>
      </c>
      <c r="H44" s="35">
        <f t="shared" si="1"/>
        <v>27.21631206</v>
      </c>
      <c r="I44" s="35">
        <v>2.5871172122491997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0" customHeight="1">
      <c r="A45" s="66" t="s">
        <v>141</v>
      </c>
      <c r="B45" s="67">
        <v>11630.0</v>
      </c>
      <c r="C45" s="46">
        <v>34.65</v>
      </c>
      <c r="D45" s="67">
        <v>12630.0</v>
      </c>
      <c r="E45" s="46">
        <v>34.98</v>
      </c>
      <c r="F45" s="67">
        <v>14310.0</v>
      </c>
      <c r="G45" s="46">
        <v>35.49</v>
      </c>
      <c r="H45" s="35">
        <f t="shared" si="1"/>
        <v>23.04385211</v>
      </c>
      <c r="I45" s="35">
        <v>2.4242424242424345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0" customHeight="1">
      <c r="A46" s="66" t="s">
        <v>50</v>
      </c>
      <c r="B46" s="67">
        <v>72880.0</v>
      </c>
      <c r="C46" s="46">
        <v>40.54</v>
      </c>
      <c r="D46" s="67">
        <v>73420.0</v>
      </c>
      <c r="E46" s="46">
        <v>41.24</v>
      </c>
      <c r="F46" s="67">
        <v>73310.0</v>
      </c>
      <c r="G46" s="46">
        <v>41.28</v>
      </c>
      <c r="H46" s="35">
        <f t="shared" si="1"/>
        <v>0.5900109769</v>
      </c>
      <c r="I46" s="35">
        <v>1.825357671435624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0" customHeight="1">
      <c r="A47" s="66" t="s">
        <v>88</v>
      </c>
      <c r="B47" s="67">
        <v>5040.0</v>
      </c>
      <c r="C47" s="46">
        <v>27.39</v>
      </c>
      <c r="D47" s="67">
        <v>5650.0</v>
      </c>
      <c r="E47" s="46">
        <v>26.35</v>
      </c>
      <c r="F47" s="67">
        <v>6610.0</v>
      </c>
      <c r="G47" s="46">
        <v>27.88</v>
      </c>
      <c r="H47" s="35">
        <f t="shared" si="1"/>
        <v>31.15079365</v>
      </c>
      <c r="I47" s="35">
        <v>1.7889740781306989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0" customHeight="1">
      <c r="A48" s="66" t="s">
        <v>107</v>
      </c>
      <c r="B48" s="67">
        <v>40670.0</v>
      </c>
      <c r="C48" s="46">
        <v>40.17</v>
      </c>
      <c r="D48" s="67">
        <v>40380.0</v>
      </c>
      <c r="E48" s="46">
        <v>40.07</v>
      </c>
      <c r="F48" s="67">
        <v>40130.0</v>
      </c>
      <c r="G48" s="46">
        <v>40.8</v>
      </c>
      <c r="H48" s="35">
        <f t="shared" si="1"/>
        <v>-1.32776002</v>
      </c>
      <c r="I48" s="35">
        <v>1.5683345780433047</v>
      </c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0" customHeight="1">
      <c r="A49" s="66" t="s">
        <v>104</v>
      </c>
      <c r="B49" s="67">
        <v>5060.0</v>
      </c>
      <c r="C49" s="46">
        <v>28.31</v>
      </c>
      <c r="D49" s="67">
        <v>5090.0</v>
      </c>
      <c r="E49" s="46">
        <v>28.57</v>
      </c>
      <c r="F49" s="67">
        <v>5020.0</v>
      </c>
      <c r="G49" s="46">
        <v>28.66</v>
      </c>
      <c r="H49" s="35">
        <f t="shared" si="1"/>
        <v>-0.790513834</v>
      </c>
      <c r="I49" s="35">
        <v>1.2363122571529546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0" customHeight="1">
      <c r="A50" s="66" t="s">
        <v>82</v>
      </c>
      <c r="B50" s="67">
        <v>19140.0</v>
      </c>
      <c r="C50" s="46">
        <v>39.35</v>
      </c>
      <c r="D50" s="67">
        <v>16570.0</v>
      </c>
      <c r="E50" s="46">
        <v>39.49</v>
      </c>
      <c r="F50" s="67">
        <v>17810.0</v>
      </c>
      <c r="G50" s="46">
        <v>39.21</v>
      </c>
      <c r="H50" s="35">
        <f t="shared" si="1"/>
        <v>-6.948798328</v>
      </c>
      <c r="I50" s="35">
        <v>-0.3557814485387562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0" customHeight="1">
      <c r="A51" s="66" t="s">
        <v>70</v>
      </c>
      <c r="B51" s="67">
        <v>7450.0</v>
      </c>
      <c r="C51" s="46">
        <v>30.68</v>
      </c>
      <c r="D51" s="67">
        <v>8900.0</v>
      </c>
      <c r="E51" s="46">
        <v>30.72</v>
      </c>
      <c r="F51" s="67">
        <v>10310.0</v>
      </c>
      <c r="G51" s="46">
        <v>30.38</v>
      </c>
      <c r="H51" s="35">
        <f t="shared" si="1"/>
        <v>38.38926174</v>
      </c>
      <c r="I51" s="35">
        <v>-0.9778357235984377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0" customHeight="1">
      <c r="A52" s="66" t="s">
        <v>115</v>
      </c>
      <c r="B52" s="67">
        <v>3180.0</v>
      </c>
      <c r="C52" s="46">
        <v>35.02</v>
      </c>
      <c r="D52" s="67">
        <v>3150.0</v>
      </c>
      <c r="E52" s="46">
        <v>33.81</v>
      </c>
      <c r="F52" s="67">
        <v>3570.0</v>
      </c>
      <c r="G52" s="46">
        <v>33.87</v>
      </c>
      <c r="H52" s="35">
        <f t="shared" si="1"/>
        <v>12.26415094</v>
      </c>
      <c r="I52" s="35">
        <v>-3.2838378069674627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0" customHeight="1">
      <c r="A53" s="68"/>
      <c r="B53" s="24"/>
      <c r="C53" s="24"/>
      <c r="D53" s="24"/>
      <c r="E53" s="24"/>
      <c r="F53" s="24"/>
      <c r="G53" s="24"/>
      <c r="H53" s="48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0" customHeight="1">
      <c r="A54" s="68"/>
      <c r="B54" s="24"/>
      <c r="C54" s="24"/>
      <c r="D54" s="24"/>
      <c r="E54" s="24"/>
      <c r="F54" s="24"/>
      <c r="G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0" customHeight="1">
      <c r="A55" s="68"/>
      <c r="B55" s="24"/>
      <c r="C55" s="24"/>
      <c r="D55" s="24"/>
      <c r="E55" s="24"/>
      <c r="F55" s="24"/>
      <c r="G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0" customHeight="1">
      <c r="A56" s="68"/>
      <c r="B56" s="24"/>
      <c r="C56" s="24"/>
      <c r="D56" s="24"/>
      <c r="E56" s="24"/>
      <c r="F56" s="24"/>
      <c r="G56" s="24"/>
      <c r="H56" s="48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0" customHeight="1">
      <c r="A57" s="68"/>
      <c r="B57" s="24"/>
      <c r="C57" s="24"/>
      <c r="D57" s="24"/>
      <c r="E57" s="24"/>
      <c r="F57" s="24"/>
      <c r="G57" s="24"/>
      <c r="H57" s="48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0" customHeight="1">
      <c r="A58" s="68"/>
      <c r="B58" s="24"/>
      <c r="C58" s="24"/>
      <c r="D58" s="24"/>
      <c r="E58" s="24"/>
      <c r="F58" s="24"/>
      <c r="G58" s="24"/>
      <c r="H58" s="48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0" customHeight="1">
      <c r="A59" s="68"/>
      <c r="B59" s="24"/>
      <c r="C59" s="24"/>
      <c r="D59" s="24"/>
      <c r="E59" s="24"/>
      <c r="F59" s="24"/>
      <c r="G59" s="24"/>
      <c r="H59" s="48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0" customHeight="1">
      <c r="A60" s="68"/>
      <c r="B60" s="24"/>
      <c r="C60" s="24"/>
      <c r="D60" s="24"/>
      <c r="E60" s="24"/>
      <c r="F60" s="24"/>
      <c r="G60" s="24"/>
      <c r="H60" s="48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0" customHeight="1">
      <c r="A61" s="68"/>
      <c r="B61" s="24"/>
      <c r="C61" s="24"/>
      <c r="D61" s="24"/>
      <c r="E61" s="24"/>
      <c r="F61" s="24"/>
      <c r="G61" s="24"/>
      <c r="H61" s="48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0" customHeight="1">
      <c r="A62" s="68"/>
      <c r="B62" s="24"/>
      <c r="C62" s="24"/>
      <c r="D62" s="24"/>
      <c r="E62" s="24"/>
      <c r="F62" s="24"/>
      <c r="G62" s="24"/>
      <c r="H62" s="48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0" customHeight="1">
      <c r="A63" s="68"/>
      <c r="B63" s="24"/>
      <c r="C63" s="24"/>
      <c r="D63" s="24"/>
      <c r="E63" s="24"/>
      <c r="F63" s="24"/>
      <c r="G63" s="24"/>
      <c r="H63" s="48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0" customHeight="1">
      <c r="A64" s="68"/>
      <c r="B64" s="24"/>
      <c r="C64" s="24"/>
      <c r="D64" s="24"/>
      <c r="E64" s="24"/>
      <c r="F64" s="24"/>
      <c r="G64" s="24"/>
      <c r="H64" s="48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0" customHeight="1">
      <c r="A65" s="68"/>
      <c r="B65" s="24"/>
      <c r="C65" s="24"/>
      <c r="D65" s="24"/>
      <c r="E65" s="24"/>
      <c r="F65" s="24"/>
      <c r="G65" s="24"/>
      <c r="H65" s="48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0" customHeight="1">
      <c r="A66" s="68"/>
      <c r="B66" s="24"/>
      <c r="C66" s="24"/>
      <c r="D66" s="24"/>
      <c r="E66" s="24"/>
      <c r="F66" s="24"/>
      <c r="G66" s="24"/>
      <c r="H66" s="48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0" customHeight="1">
      <c r="A67" s="68"/>
      <c r="B67" s="24"/>
      <c r="C67" s="24"/>
      <c r="D67" s="24"/>
      <c r="E67" s="24"/>
      <c r="F67" s="24"/>
      <c r="G67" s="24"/>
      <c r="H67" s="48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0" customHeight="1">
      <c r="A68" s="68"/>
      <c r="B68" s="24"/>
      <c r="C68" s="24"/>
      <c r="D68" s="24"/>
      <c r="E68" s="24"/>
      <c r="F68" s="24"/>
      <c r="G68" s="24"/>
      <c r="H68" s="48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0" customHeight="1">
      <c r="A69" s="68"/>
      <c r="B69" s="24"/>
      <c r="C69" s="24"/>
      <c r="D69" s="24"/>
      <c r="E69" s="24"/>
      <c r="F69" s="24"/>
      <c r="G69" s="24"/>
      <c r="H69" s="48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0" customHeight="1">
      <c r="A70" s="68"/>
      <c r="B70" s="24"/>
      <c r="C70" s="24"/>
      <c r="D70" s="24"/>
      <c r="E70" s="24"/>
      <c r="F70" s="24"/>
      <c r="G70" s="24"/>
      <c r="H70" s="48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0" customHeight="1">
      <c r="A71" s="68"/>
      <c r="B71" s="24"/>
      <c r="C71" s="24"/>
      <c r="D71" s="24"/>
      <c r="E71" s="24"/>
      <c r="F71" s="24"/>
      <c r="G71" s="24"/>
      <c r="H71" s="48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0" customHeight="1">
      <c r="A72" s="68"/>
      <c r="B72" s="24"/>
      <c r="C72" s="24"/>
      <c r="D72" s="24"/>
      <c r="E72" s="24"/>
      <c r="F72" s="24"/>
      <c r="G72" s="24"/>
      <c r="H72" s="48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0" customHeight="1">
      <c r="A73" s="68"/>
      <c r="B73" s="24"/>
      <c r="C73" s="24"/>
      <c r="D73" s="24"/>
      <c r="E73" s="24"/>
      <c r="F73" s="24"/>
      <c r="G73" s="24"/>
      <c r="H73" s="48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0" customHeight="1">
      <c r="A74" s="68"/>
      <c r="B74" s="24"/>
      <c r="C74" s="24"/>
      <c r="D74" s="24"/>
      <c r="E74" s="24"/>
      <c r="F74" s="24"/>
      <c r="G74" s="24"/>
      <c r="H74" s="48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0" customHeight="1">
      <c r="A75" s="68"/>
      <c r="B75" s="24"/>
      <c r="C75" s="24"/>
      <c r="D75" s="24"/>
      <c r="E75" s="24"/>
      <c r="F75" s="24"/>
      <c r="G75" s="24"/>
      <c r="H75" s="48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0" customHeight="1">
      <c r="A76" s="68"/>
      <c r="B76" s="24"/>
      <c r="C76" s="24"/>
      <c r="D76" s="24"/>
      <c r="E76" s="24"/>
      <c r="F76" s="24"/>
      <c r="G76" s="24"/>
      <c r="H76" s="48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0" customHeight="1">
      <c r="A77" s="68"/>
      <c r="B77" s="24"/>
      <c r="C77" s="24"/>
      <c r="D77" s="24"/>
      <c r="E77" s="24"/>
      <c r="F77" s="24"/>
      <c r="G77" s="24"/>
      <c r="H77" s="48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0" customHeight="1">
      <c r="A78" s="68"/>
      <c r="B78" s="24"/>
      <c r="C78" s="24"/>
      <c r="D78" s="24"/>
      <c r="E78" s="24"/>
      <c r="F78" s="24"/>
      <c r="G78" s="24"/>
      <c r="H78" s="48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0" customHeight="1">
      <c r="A79" s="68"/>
      <c r="B79" s="24"/>
      <c r="C79" s="24"/>
      <c r="D79" s="24"/>
      <c r="E79" s="24"/>
      <c r="F79" s="24"/>
      <c r="G79" s="24"/>
      <c r="H79" s="48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0" customHeight="1">
      <c r="A80" s="68"/>
      <c r="B80" s="24"/>
      <c r="C80" s="24"/>
      <c r="D80" s="24"/>
      <c r="E80" s="24"/>
      <c r="F80" s="24"/>
      <c r="G80" s="24"/>
      <c r="H80" s="48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0" customHeight="1">
      <c r="A81" s="68"/>
      <c r="B81" s="24"/>
      <c r="C81" s="24"/>
      <c r="D81" s="24"/>
      <c r="E81" s="24"/>
      <c r="F81" s="24"/>
      <c r="G81" s="24"/>
      <c r="H81" s="48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0" customHeight="1">
      <c r="A82" s="68"/>
      <c r="B82" s="24"/>
      <c r="C82" s="24"/>
      <c r="D82" s="24"/>
      <c r="E82" s="24"/>
      <c r="F82" s="24"/>
      <c r="G82" s="24"/>
      <c r="H82" s="48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0" customHeight="1">
      <c r="A83" s="68"/>
      <c r="B83" s="24"/>
      <c r="C83" s="24"/>
      <c r="D83" s="24"/>
      <c r="E83" s="24"/>
      <c r="F83" s="24"/>
      <c r="G83" s="24"/>
      <c r="H83" s="48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0" customHeight="1">
      <c r="A84" s="68"/>
      <c r="B84" s="24"/>
      <c r="C84" s="24"/>
      <c r="D84" s="24"/>
      <c r="E84" s="24"/>
      <c r="F84" s="24"/>
      <c r="G84" s="24"/>
      <c r="H84" s="48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0" customHeight="1">
      <c r="A85" s="68"/>
      <c r="B85" s="24"/>
      <c r="C85" s="24"/>
      <c r="D85" s="24"/>
      <c r="E85" s="24"/>
      <c r="F85" s="24"/>
      <c r="G85" s="24"/>
      <c r="H85" s="48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0" customHeight="1">
      <c r="A86" s="68"/>
      <c r="B86" s="24"/>
      <c r="C86" s="24"/>
      <c r="D86" s="24"/>
      <c r="E86" s="24"/>
      <c r="F86" s="24"/>
      <c r="G86" s="24"/>
      <c r="H86" s="48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0" customHeight="1">
      <c r="A87" s="68"/>
      <c r="B87" s="24"/>
      <c r="C87" s="24"/>
      <c r="D87" s="24"/>
      <c r="E87" s="24"/>
      <c r="F87" s="24"/>
      <c r="G87" s="24"/>
      <c r="H87" s="48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0" customHeight="1">
      <c r="A88" s="68"/>
      <c r="B88" s="24"/>
      <c r="C88" s="24"/>
      <c r="D88" s="24"/>
      <c r="E88" s="24"/>
      <c r="F88" s="24"/>
      <c r="G88" s="24"/>
      <c r="H88" s="48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0" customHeight="1">
      <c r="A89" s="68"/>
      <c r="B89" s="24"/>
      <c r="C89" s="24"/>
      <c r="D89" s="24"/>
      <c r="E89" s="24"/>
      <c r="F89" s="24"/>
      <c r="G89" s="24"/>
      <c r="H89" s="48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0" customHeight="1">
      <c r="A90" s="68"/>
      <c r="B90" s="24"/>
      <c r="C90" s="24"/>
      <c r="D90" s="24"/>
      <c r="E90" s="24"/>
      <c r="F90" s="24"/>
      <c r="G90" s="24"/>
      <c r="H90" s="48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0" customHeight="1">
      <c r="A91" s="68"/>
      <c r="B91" s="24"/>
      <c r="C91" s="24"/>
      <c r="D91" s="24"/>
      <c r="E91" s="24"/>
      <c r="F91" s="24"/>
      <c r="G91" s="24"/>
      <c r="H91" s="48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0" customHeight="1">
      <c r="A92" s="68"/>
      <c r="B92" s="24"/>
      <c r="C92" s="24"/>
      <c r="D92" s="24"/>
      <c r="E92" s="24"/>
      <c r="F92" s="24"/>
      <c r="G92" s="24"/>
      <c r="H92" s="48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0" customHeight="1">
      <c r="A93" s="68"/>
      <c r="B93" s="24"/>
      <c r="C93" s="24"/>
      <c r="D93" s="24"/>
      <c r="E93" s="24"/>
      <c r="F93" s="24"/>
      <c r="G93" s="24"/>
      <c r="H93" s="48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0" customHeight="1">
      <c r="A94" s="68"/>
      <c r="B94" s="24"/>
      <c r="C94" s="24"/>
      <c r="D94" s="24"/>
      <c r="E94" s="24"/>
      <c r="F94" s="24"/>
      <c r="G94" s="24"/>
      <c r="H94" s="48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0" customHeight="1">
      <c r="A95" s="68"/>
      <c r="B95" s="24"/>
      <c r="C95" s="24"/>
      <c r="D95" s="24"/>
      <c r="E95" s="24"/>
      <c r="F95" s="24"/>
      <c r="G95" s="24"/>
      <c r="H95" s="48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0" customHeight="1">
      <c r="A96" s="68"/>
      <c r="B96" s="24"/>
      <c r="C96" s="24"/>
      <c r="D96" s="24"/>
      <c r="E96" s="24"/>
      <c r="F96" s="24"/>
      <c r="G96" s="24"/>
      <c r="H96" s="48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0" customHeight="1">
      <c r="A97" s="68"/>
      <c r="B97" s="24"/>
      <c r="C97" s="24"/>
      <c r="D97" s="24"/>
      <c r="E97" s="24"/>
      <c r="F97" s="24"/>
      <c r="G97" s="24"/>
      <c r="H97" s="48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0" customHeight="1">
      <c r="A98" s="68"/>
      <c r="B98" s="24"/>
      <c r="C98" s="24"/>
      <c r="D98" s="24"/>
      <c r="E98" s="24"/>
      <c r="F98" s="24"/>
      <c r="G98" s="24"/>
      <c r="H98" s="48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0" customHeight="1">
      <c r="A99" s="68"/>
      <c r="B99" s="24"/>
      <c r="C99" s="24"/>
      <c r="D99" s="24"/>
      <c r="E99" s="24"/>
      <c r="F99" s="24"/>
      <c r="G99" s="24"/>
      <c r="H99" s="48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0" customHeight="1">
      <c r="A100" s="68"/>
      <c r="B100" s="24"/>
      <c r="C100" s="24"/>
      <c r="D100" s="24"/>
      <c r="E100" s="24"/>
      <c r="F100" s="24"/>
      <c r="G100" s="24"/>
      <c r="H100" s="48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0" customHeight="1">
      <c r="A101" s="68"/>
      <c r="B101" s="24"/>
      <c r="C101" s="24"/>
      <c r="D101" s="24"/>
      <c r="E101" s="24"/>
      <c r="F101" s="24"/>
      <c r="G101" s="24"/>
      <c r="H101" s="48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0" customHeight="1">
      <c r="A102" s="68"/>
      <c r="B102" s="24"/>
      <c r="C102" s="24"/>
      <c r="D102" s="24"/>
      <c r="E102" s="24"/>
      <c r="F102" s="24"/>
      <c r="G102" s="24"/>
      <c r="H102" s="48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0" customHeight="1">
      <c r="A103" s="68"/>
      <c r="B103" s="24"/>
      <c r="C103" s="24"/>
      <c r="D103" s="24"/>
      <c r="E103" s="24"/>
      <c r="F103" s="24"/>
      <c r="G103" s="24"/>
      <c r="H103" s="48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0" customHeight="1">
      <c r="A104" s="68"/>
      <c r="B104" s="24"/>
      <c r="C104" s="24"/>
      <c r="D104" s="24"/>
      <c r="E104" s="24"/>
      <c r="F104" s="24"/>
      <c r="G104" s="24"/>
      <c r="H104" s="48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0" customHeight="1">
      <c r="A105" s="68"/>
      <c r="B105" s="24"/>
      <c r="C105" s="24"/>
      <c r="D105" s="24"/>
      <c r="E105" s="24"/>
      <c r="F105" s="24"/>
      <c r="G105" s="24"/>
      <c r="H105" s="48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0" customHeight="1">
      <c r="A106" s="68"/>
      <c r="B106" s="24"/>
      <c r="C106" s="24"/>
      <c r="D106" s="24"/>
      <c r="E106" s="24"/>
      <c r="F106" s="24"/>
      <c r="G106" s="24"/>
      <c r="H106" s="48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0" customHeight="1">
      <c r="A107" s="68"/>
      <c r="B107" s="24"/>
      <c r="C107" s="24"/>
      <c r="D107" s="24"/>
      <c r="E107" s="24"/>
      <c r="F107" s="24"/>
      <c r="G107" s="24"/>
      <c r="H107" s="48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0" customHeight="1">
      <c r="A108" s="68"/>
      <c r="B108" s="24"/>
      <c r="C108" s="24"/>
      <c r="D108" s="24"/>
      <c r="E108" s="24"/>
      <c r="F108" s="24"/>
      <c r="G108" s="24"/>
      <c r="H108" s="48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0" customHeight="1">
      <c r="A109" s="68"/>
      <c r="B109" s="24"/>
      <c r="C109" s="24"/>
      <c r="D109" s="24"/>
      <c r="E109" s="24"/>
      <c r="F109" s="24"/>
      <c r="G109" s="24"/>
      <c r="H109" s="48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0" customHeight="1">
      <c r="A110" s="68"/>
      <c r="B110" s="24"/>
      <c r="C110" s="24"/>
      <c r="D110" s="24"/>
      <c r="E110" s="24"/>
      <c r="F110" s="24"/>
      <c r="G110" s="24"/>
      <c r="H110" s="48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0" customHeight="1">
      <c r="A111" s="68"/>
      <c r="B111" s="24"/>
      <c r="C111" s="24"/>
      <c r="D111" s="24"/>
      <c r="E111" s="24"/>
      <c r="F111" s="24"/>
      <c r="G111" s="24"/>
      <c r="H111" s="48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0" customHeight="1">
      <c r="A112" s="68"/>
      <c r="B112" s="24"/>
      <c r="C112" s="24"/>
      <c r="D112" s="24"/>
      <c r="E112" s="24"/>
      <c r="F112" s="24"/>
      <c r="G112" s="24"/>
      <c r="H112" s="48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0" customHeight="1">
      <c r="A113" s="68"/>
      <c r="B113" s="24"/>
      <c r="C113" s="24"/>
      <c r="D113" s="24"/>
      <c r="E113" s="24"/>
      <c r="F113" s="24"/>
      <c r="G113" s="24"/>
      <c r="H113" s="48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0" customHeight="1">
      <c r="A114" s="68"/>
      <c r="B114" s="24"/>
      <c r="C114" s="24"/>
      <c r="D114" s="24"/>
      <c r="E114" s="24"/>
      <c r="F114" s="24"/>
      <c r="G114" s="24"/>
      <c r="H114" s="48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0" customHeight="1">
      <c r="A115" s="68"/>
      <c r="B115" s="24"/>
      <c r="C115" s="24"/>
      <c r="D115" s="24"/>
      <c r="E115" s="24"/>
      <c r="F115" s="24"/>
      <c r="G115" s="24"/>
      <c r="H115" s="48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0" customHeight="1">
      <c r="A116" s="68"/>
      <c r="B116" s="24"/>
      <c r="C116" s="24"/>
      <c r="D116" s="24"/>
      <c r="E116" s="24"/>
      <c r="F116" s="24"/>
      <c r="G116" s="24"/>
      <c r="H116" s="48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0" customHeight="1">
      <c r="A117" s="68"/>
      <c r="B117" s="24"/>
      <c r="C117" s="24"/>
      <c r="D117" s="24"/>
      <c r="E117" s="24"/>
      <c r="F117" s="24"/>
      <c r="G117" s="24"/>
      <c r="H117" s="48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0" customHeight="1">
      <c r="A118" s="68"/>
      <c r="B118" s="24"/>
      <c r="C118" s="24"/>
      <c r="D118" s="24"/>
      <c r="E118" s="24"/>
      <c r="F118" s="24"/>
      <c r="G118" s="24"/>
      <c r="H118" s="48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0" customHeight="1">
      <c r="A119" s="68"/>
      <c r="B119" s="24"/>
      <c r="C119" s="24"/>
      <c r="D119" s="24"/>
      <c r="E119" s="24"/>
      <c r="F119" s="24"/>
      <c r="G119" s="24"/>
      <c r="H119" s="48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0" customHeight="1">
      <c r="A120" s="68"/>
      <c r="B120" s="24"/>
      <c r="C120" s="24"/>
      <c r="D120" s="24"/>
      <c r="E120" s="24"/>
      <c r="F120" s="24"/>
      <c r="G120" s="24"/>
      <c r="H120" s="48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0" customHeight="1">
      <c r="A121" s="68"/>
      <c r="B121" s="24"/>
      <c r="C121" s="24"/>
      <c r="D121" s="24"/>
      <c r="E121" s="24"/>
      <c r="F121" s="24"/>
      <c r="G121" s="24"/>
      <c r="H121" s="48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0" customHeight="1">
      <c r="A122" s="68"/>
      <c r="B122" s="24"/>
      <c r="C122" s="24"/>
      <c r="D122" s="24"/>
      <c r="E122" s="24"/>
      <c r="F122" s="24"/>
      <c r="G122" s="24"/>
      <c r="H122" s="48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0" customHeight="1">
      <c r="A123" s="68"/>
      <c r="B123" s="24"/>
      <c r="C123" s="24"/>
      <c r="D123" s="24"/>
      <c r="E123" s="24"/>
      <c r="F123" s="24"/>
      <c r="G123" s="24"/>
      <c r="H123" s="48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0" customHeight="1">
      <c r="A124" s="68"/>
      <c r="B124" s="24"/>
      <c r="C124" s="24"/>
      <c r="D124" s="24"/>
      <c r="E124" s="24"/>
      <c r="F124" s="24"/>
      <c r="G124" s="24"/>
      <c r="H124" s="48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0" customHeight="1">
      <c r="A125" s="68"/>
      <c r="B125" s="24"/>
      <c r="C125" s="24"/>
      <c r="D125" s="24"/>
      <c r="E125" s="24"/>
      <c r="F125" s="24"/>
      <c r="G125" s="24"/>
      <c r="H125" s="48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0" customHeight="1">
      <c r="A126" s="68"/>
      <c r="B126" s="24"/>
      <c r="C126" s="24"/>
      <c r="D126" s="24"/>
      <c r="E126" s="24"/>
      <c r="F126" s="24"/>
      <c r="G126" s="24"/>
      <c r="H126" s="48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0" customHeight="1">
      <c r="A127" s="68"/>
      <c r="B127" s="24"/>
      <c r="C127" s="24"/>
      <c r="D127" s="24"/>
      <c r="E127" s="24"/>
      <c r="F127" s="24"/>
      <c r="G127" s="24"/>
      <c r="H127" s="48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0" customHeight="1">
      <c r="A128" s="68"/>
      <c r="B128" s="24"/>
      <c r="C128" s="24"/>
      <c r="D128" s="24"/>
      <c r="E128" s="24"/>
      <c r="F128" s="24"/>
      <c r="G128" s="24"/>
      <c r="H128" s="48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0" customHeight="1">
      <c r="A129" s="68"/>
      <c r="B129" s="24"/>
      <c r="C129" s="24"/>
      <c r="D129" s="24"/>
      <c r="E129" s="24"/>
      <c r="F129" s="24"/>
      <c r="G129" s="24"/>
      <c r="H129" s="48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0" customHeight="1">
      <c r="A130" s="68"/>
      <c r="B130" s="24"/>
      <c r="C130" s="24"/>
      <c r="D130" s="24"/>
      <c r="E130" s="24"/>
      <c r="F130" s="24"/>
      <c r="G130" s="24"/>
      <c r="H130" s="48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0" customHeight="1">
      <c r="A131" s="68"/>
      <c r="B131" s="24"/>
      <c r="C131" s="24"/>
      <c r="D131" s="24"/>
      <c r="E131" s="24"/>
      <c r="F131" s="24"/>
      <c r="G131" s="24"/>
      <c r="H131" s="48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0" customHeight="1">
      <c r="A132" s="68"/>
      <c r="B132" s="24"/>
      <c r="C132" s="24"/>
      <c r="D132" s="24"/>
      <c r="E132" s="24"/>
      <c r="F132" s="24"/>
      <c r="G132" s="24"/>
      <c r="H132" s="48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0" customHeight="1">
      <c r="A133" s="68"/>
      <c r="B133" s="24"/>
      <c r="C133" s="24"/>
      <c r="D133" s="24"/>
      <c r="E133" s="24"/>
      <c r="F133" s="24"/>
      <c r="G133" s="24"/>
      <c r="H133" s="48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0" customHeight="1">
      <c r="A134" s="68"/>
      <c r="B134" s="24"/>
      <c r="C134" s="24"/>
      <c r="D134" s="24"/>
      <c r="E134" s="24"/>
      <c r="F134" s="24"/>
      <c r="G134" s="24"/>
      <c r="H134" s="48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0" customHeight="1">
      <c r="A135" s="68"/>
      <c r="B135" s="24"/>
      <c r="C135" s="24"/>
      <c r="D135" s="24"/>
      <c r="E135" s="24"/>
      <c r="F135" s="24"/>
      <c r="G135" s="24"/>
      <c r="H135" s="48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0" customHeight="1">
      <c r="A136" s="68"/>
      <c r="B136" s="24"/>
      <c r="C136" s="24"/>
      <c r="D136" s="24"/>
      <c r="E136" s="24"/>
      <c r="F136" s="24"/>
      <c r="G136" s="24"/>
      <c r="H136" s="48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0" customHeight="1">
      <c r="A137" s="68"/>
      <c r="B137" s="24"/>
      <c r="C137" s="24"/>
      <c r="D137" s="24"/>
      <c r="E137" s="24"/>
      <c r="F137" s="24"/>
      <c r="G137" s="24"/>
      <c r="H137" s="48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0" customHeight="1">
      <c r="A138" s="68"/>
      <c r="B138" s="24"/>
      <c r="C138" s="24"/>
      <c r="D138" s="24"/>
      <c r="E138" s="24"/>
      <c r="F138" s="24"/>
      <c r="G138" s="24"/>
      <c r="H138" s="48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0" customHeight="1">
      <c r="A139" s="68"/>
      <c r="B139" s="24"/>
      <c r="C139" s="24"/>
      <c r="D139" s="24"/>
      <c r="E139" s="24"/>
      <c r="F139" s="24"/>
      <c r="G139" s="24"/>
      <c r="H139" s="48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0" customHeight="1">
      <c r="A140" s="68"/>
      <c r="B140" s="24"/>
      <c r="C140" s="24"/>
      <c r="D140" s="24"/>
      <c r="E140" s="24"/>
      <c r="F140" s="24"/>
      <c r="G140" s="24"/>
      <c r="H140" s="48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0" customHeight="1">
      <c r="A141" s="68"/>
      <c r="B141" s="24"/>
      <c r="C141" s="24"/>
      <c r="D141" s="24"/>
      <c r="E141" s="24"/>
      <c r="F141" s="24"/>
      <c r="G141" s="24"/>
      <c r="H141" s="48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0" customHeight="1">
      <c r="A142" s="68"/>
      <c r="B142" s="24"/>
      <c r="C142" s="24"/>
      <c r="D142" s="24"/>
      <c r="E142" s="24"/>
      <c r="F142" s="24"/>
      <c r="G142" s="24"/>
      <c r="H142" s="48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0" customHeight="1">
      <c r="A143" s="68"/>
      <c r="B143" s="24"/>
      <c r="C143" s="24"/>
      <c r="D143" s="24"/>
      <c r="E143" s="24"/>
      <c r="F143" s="24"/>
      <c r="G143" s="24"/>
      <c r="H143" s="48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0" customHeight="1">
      <c r="A144" s="68"/>
      <c r="B144" s="24"/>
      <c r="C144" s="24"/>
      <c r="D144" s="24"/>
      <c r="E144" s="24"/>
      <c r="F144" s="24"/>
      <c r="G144" s="24"/>
      <c r="H144" s="48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0" customHeight="1">
      <c r="A145" s="68"/>
      <c r="B145" s="24"/>
      <c r="C145" s="24"/>
      <c r="D145" s="24"/>
      <c r="E145" s="24"/>
      <c r="F145" s="24"/>
      <c r="G145" s="24"/>
      <c r="H145" s="48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0" customHeight="1">
      <c r="A146" s="68"/>
      <c r="B146" s="24"/>
      <c r="C146" s="24"/>
      <c r="D146" s="24"/>
      <c r="E146" s="24"/>
      <c r="F146" s="24"/>
      <c r="G146" s="24"/>
      <c r="H146" s="48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0" customHeight="1">
      <c r="A147" s="68"/>
      <c r="B147" s="24"/>
      <c r="C147" s="24"/>
      <c r="D147" s="24"/>
      <c r="E147" s="24"/>
      <c r="F147" s="24"/>
      <c r="G147" s="24"/>
      <c r="H147" s="48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0" customHeight="1">
      <c r="A148" s="68"/>
      <c r="B148" s="24"/>
      <c r="C148" s="24"/>
      <c r="D148" s="24"/>
      <c r="E148" s="24"/>
      <c r="F148" s="24"/>
      <c r="G148" s="24"/>
      <c r="H148" s="48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0" customHeight="1">
      <c r="A149" s="68"/>
      <c r="B149" s="24"/>
      <c r="C149" s="24"/>
      <c r="D149" s="24"/>
      <c r="E149" s="24"/>
      <c r="F149" s="24"/>
      <c r="G149" s="24"/>
      <c r="H149" s="48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0" customHeight="1">
      <c r="A150" s="68"/>
      <c r="B150" s="24"/>
      <c r="C150" s="24"/>
      <c r="D150" s="24"/>
      <c r="E150" s="24"/>
      <c r="F150" s="24"/>
      <c r="G150" s="24"/>
      <c r="H150" s="48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0" customHeight="1">
      <c r="A151" s="68"/>
      <c r="B151" s="24"/>
      <c r="C151" s="24"/>
      <c r="D151" s="24"/>
      <c r="E151" s="24"/>
      <c r="F151" s="24"/>
      <c r="G151" s="24"/>
      <c r="H151" s="48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0" customHeight="1">
      <c r="A152" s="68"/>
      <c r="B152" s="24"/>
      <c r="C152" s="24"/>
      <c r="D152" s="24"/>
      <c r="E152" s="24"/>
      <c r="F152" s="24"/>
      <c r="G152" s="24"/>
      <c r="H152" s="48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0" customHeight="1">
      <c r="A153" s="68"/>
      <c r="B153" s="24"/>
      <c r="C153" s="24"/>
      <c r="D153" s="24"/>
      <c r="E153" s="24"/>
      <c r="F153" s="24"/>
      <c r="G153" s="24"/>
      <c r="H153" s="48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0" customHeight="1">
      <c r="A154" s="68"/>
      <c r="B154" s="24"/>
      <c r="C154" s="24"/>
      <c r="D154" s="24"/>
      <c r="E154" s="24"/>
      <c r="F154" s="24"/>
      <c r="G154" s="24"/>
      <c r="H154" s="48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0" customHeight="1">
      <c r="A155" s="68"/>
      <c r="B155" s="24"/>
      <c r="C155" s="24"/>
      <c r="D155" s="24"/>
      <c r="E155" s="24"/>
      <c r="F155" s="24"/>
      <c r="G155" s="24"/>
      <c r="H155" s="48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0" customHeight="1">
      <c r="A156" s="68"/>
      <c r="B156" s="24"/>
      <c r="C156" s="24"/>
      <c r="D156" s="24"/>
      <c r="E156" s="24"/>
      <c r="F156" s="24"/>
      <c r="G156" s="24"/>
      <c r="H156" s="48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0" customHeight="1">
      <c r="A157" s="68"/>
      <c r="B157" s="24"/>
      <c r="C157" s="24"/>
      <c r="D157" s="24"/>
      <c r="E157" s="24"/>
      <c r="F157" s="24"/>
      <c r="G157" s="24"/>
      <c r="H157" s="48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0" customHeight="1">
      <c r="A158" s="68"/>
      <c r="B158" s="24"/>
      <c r="C158" s="24"/>
      <c r="D158" s="24"/>
      <c r="E158" s="24"/>
      <c r="F158" s="24"/>
      <c r="G158" s="24"/>
      <c r="H158" s="48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0" customHeight="1">
      <c r="A159" s="68"/>
      <c r="B159" s="24"/>
      <c r="C159" s="24"/>
      <c r="D159" s="24"/>
      <c r="E159" s="24"/>
      <c r="F159" s="24"/>
      <c r="G159" s="24"/>
      <c r="H159" s="48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0" customHeight="1">
      <c r="A160" s="68"/>
      <c r="B160" s="24"/>
      <c r="C160" s="24"/>
      <c r="D160" s="24"/>
      <c r="E160" s="24"/>
      <c r="F160" s="24"/>
      <c r="G160" s="24"/>
      <c r="H160" s="48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0" customHeight="1">
      <c r="A161" s="68"/>
      <c r="B161" s="24"/>
      <c r="C161" s="24"/>
      <c r="D161" s="24"/>
      <c r="E161" s="24"/>
      <c r="F161" s="24"/>
      <c r="G161" s="24"/>
      <c r="H161" s="48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0" customHeight="1">
      <c r="A162" s="68"/>
      <c r="B162" s="24"/>
      <c r="C162" s="24"/>
      <c r="D162" s="24"/>
      <c r="E162" s="24"/>
      <c r="F162" s="24"/>
      <c r="G162" s="24"/>
      <c r="H162" s="48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0" customHeight="1">
      <c r="A163" s="68"/>
      <c r="B163" s="24"/>
      <c r="C163" s="24"/>
      <c r="D163" s="24"/>
      <c r="E163" s="24"/>
      <c r="F163" s="24"/>
      <c r="G163" s="24"/>
      <c r="H163" s="48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0" customHeight="1">
      <c r="A164" s="68"/>
      <c r="B164" s="24"/>
      <c r="C164" s="24"/>
      <c r="D164" s="24"/>
      <c r="E164" s="24"/>
      <c r="F164" s="24"/>
      <c r="G164" s="24"/>
      <c r="H164" s="48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0" customHeight="1">
      <c r="A165" s="68"/>
      <c r="B165" s="24"/>
      <c r="C165" s="24"/>
      <c r="D165" s="24"/>
      <c r="E165" s="24"/>
      <c r="F165" s="24"/>
      <c r="G165" s="24"/>
      <c r="H165" s="48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0" customHeight="1">
      <c r="A166" s="68"/>
      <c r="B166" s="24"/>
      <c r="C166" s="24"/>
      <c r="D166" s="24"/>
      <c r="E166" s="24"/>
      <c r="F166" s="24"/>
      <c r="G166" s="24"/>
      <c r="H166" s="48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0" customHeight="1">
      <c r="A167" s="68"/>
      <c r="B167" s="24"/>
      <c r="C167" s="24"/>
      <c r="D167" s="24"/>
      <c r="E167" s="24"/>
      <c r="F167" s="24"/>
      <c r="G167" s="24"/>
      <c r="H167" s="48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0" customHeight="1">
      <c r="A168" s="68"/>
      <c r="B168" s="24"/>
      <c r="C168" s="24"/>
      <c r="D168" s="24"/>
      <c r="E168" s="24"/>
      <c r="F168" s="24"/>
      <c r="G168" s="24"/>
      <c r="H168" s="48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0" customHeight="1">
      <c r="A169" s="68"/>
      <c r="B169" s="24"/>
      <c r="C169" s="24"/>
      <c r="D169" s="24"/>
      <c r="E169" s="24"/>
      <c r="F169" s="24"/>
      <c r="G169" s="24"/>
      <c r="H169" s="48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0" customHeight="1">
      <c r="A170" s="68"/>
      <c r="B170" s="24"/>
      <c r="C170" s="24"/>
      <c r="D170" s="24"/>
      <c r="E170" s="24"/>
      <c r="F170" s="24"/>
      <c r="G170" s="24"/>
      <c r="H170" s="48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0" customHeight="1">
      <c r="A171" s="68"/>
      <c r="B171" s="24"/>
      <c r="C171" s="24"/>
      <c r="D171" s="24"/>
      <c r="E171" s="24"/>
      <c r="F171" s="24"/>
      <c r="G171" s="24"/>
      <c r="H171" s="48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0" customHeight="1">
      <c r="A172" s="68"/>
      <c r="B172" s="24"/>
      <c r="C172" s="24"/>
      <c r="D172" s="24"/>
      <c r="E172" s="24"/>
      <c r="F172" s="24"/>
      <c r="G172" s="24"/>
      <c r="H172" s="48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0" customHeight="1">
      <c r="A173" s="68"/>
      <c r="B173" s="24"/>
      <c r="C173" s="24"/>
      <c r="D173" s="24"/>
      <c r="E173" s="24"/>
      <c r="F173" s="24"/>
      <c r="G173" s="24"/>
      <c r="H173" s="48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0" customHeight="1">
      <c r="A174" s="68"/>
      <c r="B174" s="24"/>
      <c r="C174" s="24"/>
      <c r="D174" s="24"/>
      <c r="E174" s="24"/>
      <c r="F174" s="24"/>
      <c r="G174" s="24"/>
      <c r="H174" s="48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0" customHeight="1">
      <c r="A175" s="68"/>
      <c r="B175" s="24"/>
      <c r="C175" s="24"/>
      <c r="D175" s="24"/>
      <c r="E175" s="24"/>
      <c r="F175" s="24"/>
      <c r="G175" s="24"/>
      <c r="H175" s="48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0" customHeight="1">
      <c r="A176" s="68"/>
      <c r="B176" s="24"/>
      <c r="C176" s="24"/>
      <c r="D176" s="24"/>
      <c r="E176" s="24"/>
      <c r="F176" s="24"/>
      <c r="G176" s="24"/>
      <c r="H176" s="48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0" customHeight="1">
      <c r="A177" s="68"/>
      <c r="B177" s="24"/>
      <c r="C177" s="24"/>
      <c r="D177" s="24"/>
      <c r="E177" s="24"/>
      <c r="F177" s="24"/>
      <c r="G177" s="24"/>
      <c r="H177" s="48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0" customHeight="1">
      <c r="A178" s="68"/>
      <c r="B178" s="24"/>
      <c r="C178" s="24"/>
      <c r="D178" s="24"/>
      <c r="E178" s="24"/>
      <c r="F178" s="24"/>
      <c r="G178" s="24"/>
      <c r="H178" s="48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0" customHeight="1">
      <c r="A179" s="68"/>
      <c r="B179" s="24"/>
      <c r="C179" s="24"/>
      <c r="D179" s="24"/>
      <c r="E179" s="24"/>
      <c r="F179" s="24"/>
      <c r="G179" s="24"/>
      <c r="H179" s="48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0" customHeight="1">
      <c r="A180" s="68"/>
      <c r="B180" s="24"/>
      <c r="C180" s="24"/>
      <c r="D180" s="24"/>
      <c r="E180" s="24"/>
      <c r="F180" s="24"/>
      <c r="G180" s="24"/>
      <c r="H180" s="48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0" customHeight="1">
      <c r="A181" s="68"/>
      <c r="B181" s="24"/>
      <c r="C181" s="24"/>
      <c r="D181" s="24"/>
      <c r="E181" s="24"/>
      <c r="F181" s="24"/>
      <c r="G181" s="24"/>
      <c r="H181" s="48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0" customHeight="1">
      <c r="A182" s="68"/>
      <c r="B182" s="24"/>
      <c r="C182" s="24"/>
      <c r="D182" s="24"/>
      <c r="E182" s="24"/>
      <c r="F182" s="24"/>
      <c r="G182" s="24"/>
      <c r="H182" s="48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0" customHeight="1">
      <c r="A183" s="68"/>
      <c r="B183" s="24"/>
      <c r="C183" s="24"/>
      <c r="D183" s="24"/>
      <c r="E183" s="24"/>
      <c r="F183" s="24"/>
      <c r="G183" s="24"/>
      <c r="H183" s="48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0" customHeight="1">
      <c r="A184" s="68"/>
      <c r="B184" s="24"/>
      <c r="C184" s="24"/>
      <c r="D184" s="24"/>
      <c r="E184" s="24"/>
      <c r="F184" s="24"/>
      <c r="G184" s="24"/>
      <c r="H184" s="48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0" customHeight="1">
      <c r="A185" s="68"/>
      <c r="B185" s="24"/>
      <c r="C185" s="24"/>
      <c r="D185" s="24"/>
      <c r="E185" s="24"/>
      <c r="F185" s="24"/>
      <c r="G185" s="24"/>
      <c r="H185" s="48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0" customHeight="1">
      <c r="A186" s="68"/>
      <c r="B186" s="24"/>
      <c r="C186" s="24"/>
      <c r="D186" s="24"/>
      <c r="E186" s="24"/>
      <c r="F186" s="24"/>
      <c r="G186" s="24"/>
      <c r="H186" s="48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0" customHeight="1">
      <c r="A187" s="68"/>
      <c r="B187" s="24"/>
      <c r="C187" s="24"/>
      <c r="D187" s="24"/>
      <c r="E187" s="24"/>
      <c r="F187" s="24"/>
      <c r="G187" s="24"/>
      <c r="H187" s="48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0" customHeight="1">
      <c r="A188" s="68"/>
      <c r="B188" s="24"/>
      <c r="C188" s="24"/>
      <c r="D188" s="24"/>
      <c r="E188" s="24"/>
      <c r="F188" s="24"/>
      <c r="G188" s="24"/>
      <c r="H188" s="48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0" customHeight="1">
      <c r="A189" s="68"/>
      <c r="B189" s="24"/>
      <c r="C189" s="24"/>
      <c r="D189" s="24"/>
      <c r="E189" s="24"/>
      <c r="F189" s="24"/>
      <c r="G189" s="24"/>
      <c r="H189" s="48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0" customHeight="1">
      <c r="A190" s="68"/>
      <c r="B190" s="24"/>
      <c r="C190" s="24"/>
      <c r="D190" s="24"/>
      <c r="E190" s="24"/>
      <c r="F190" s="24"/>
      <c r="G190" s="24"/>
      <c r="H190" s="48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0" customHeight="1">
      <c r="A191" s="68"/>
      <c r="B191" s="24"/>
      <c r="C191" s="24"/>
      <c r="D191" s="24"/>
      <c r="E191" s="24"/>
      <c r="F191" s="24"/>
      <c r="G191" s="24"/>
      <c r="H191" s="48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0" customHeight="1">
      <c r="A192" s="68"/>
      <c r="B192" s="24"/>
      <c r="C192" s="24"/>
      <c r="D192" s="24"/>
      <c r="E192" s="24"/>
      <c r="F192" s="24"/>
      <c r="G192" s="24"/>
      <c r="H192" s="48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0" customHeight="1">
      <c r="A193" s="68"/>
      <c r="B193" s="24"/>
      <c r="C193" s="24"/>
      <c r="D193" s="24"/>
      <c r="E193" s="24"/>
      <c r="F193" s="24"/>
      <c r="G193" s="24"/>
      <c r="H193" s="48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0" customHeight="1">
      <c r="A194" s="68"/>
      <c r="B194" s="24"/>
      <c r="C194" s="24"/>
      <c r="D194" s="24"/>
      <c r="E194" s="24"/>
      <c r="F194" s="24"/>
      <c r="G194" s="24"/>
      <c r="H194" s="48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0" customHeight="1">
      <c r="A195" s="68"/>
      <c r="B195" s="24"/>
      <c r="C195" s="24"/>
      <c r="D195" s="24"/>
      <c r="E195" s="24"/>
      <c r="F195" s="24"/>
      <c r="G195" s="24"/>
      <c r="H195" s="48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0" customHeight="1">
      <c r="A196" s="68"/>
      <c r="B196" s="24"/>
      <c r="C196" s="24"/>
      <c r="D196" s="24"/>
      <c r="E196" s="24"/>
      <c r="F196" s="24"/>
      <c r="G196" s="24"/>
      <c r="H196" s="48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0" customHeight="1">
      <c r="A197" s="68"/>
      <c r="B197" s="24"/>
      <c r="C197" s="24"/>
      <c r="D197" s="24"/>
      <c r="E197" s="24"/>
      <c r="F197" s="24"/>
      <c r="G197" s="24"/>
      <c r="H197" s="48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0" customHeight="1">
      <c r="A198" s="68"/>
      <c r="B198" s="24"/>
      <c r="C198" s="24"/>
      <c r="D198" s="24"/>
      <c r="E198" s="24"/>
      <c r="F198" s="24"/>
      <c r="G198" s="24"/>
      <c r="H198" s="48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0" customHeight="1">
      <c r="A199" s="68"/>
      <c r="B199" s="24"/>
      <c r="C199" s="24"/>
      <c r="D199" s="24"/>
      <c r="E199" s="24"/>
      <c r="F199" s="24"/>
      <c r="G199" s="24"/>
      <c r="H199" s="48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0" customHeight="1">
      <c r="A200" s="68"/>
      <c r="B200" s="24"/>
      <c r="C200" s="24"/>
      <c r="D200" s="24"/>
      <c r="E200" s="24"/>
      <c r="F200" s="24"/>
      <c r="G200" s="24"/>
      <c r="H200" s="48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0" customHeight="1">
      <c r="A201" s="68"/>
      <c r="B201" s="24"/>
      <c r="C201" s="24"/>
      <c r="D201" s="24"/>
      <c r="E201" s="24"/>
      <c r="F201" s="24"/>
      <c r="G201" s="24"/>
      <c r="H201" s="48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0" customHeight="1">
      <c r="A202" s="68"/>
      <c r="B202" s="24"/>
      <c r="C202" s="24"/>
      <c r="D202" s="24"/>
      <c r="E202" s="24"/>
      <c r="F202" s="24"/>
      <c r="G202" s="24"/>
      <c r="H202" s="48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0" customHeight="1">
      <c r="A203" s="68"/>
      <c r="B203" s="24"/>
      <c r="C203" s="24"/>
      <c r="D203" s="24"/>
      <c r="E203" s="24"/>
      <c r="F203" s="24"/>
      <c r="G203" s="24"/>
      <c r="H203" s="48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0" customHeight="1">
      <c r="A204" s="68"/>
      <c r="B204" s="24"/>
      <c r="C204" s="24"/>
      <c r="D204" s="24"/>
      <c r="E204" s="24"/>
      <c r="F204" s="24"/>
      <c r="G204" s="24"/>
      <c r="H204" s="48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0" customHeight="1">
      <c r="A205" s="68"/>
      <c r="B205" s="24"/>
      <c r="C205" s="24"/>
      <c r="D205" s="24"/>
      <c r="E205" s="24"/>
      <c r="F205" s="24"/>
      <c r="G205" s="24"/>
      <c r="H205" s="48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0" customHeight="1">
      <c r="A206" s="68"/>
      <c r="B206" s="24"/>
      <c r="C206" s="24"/>
      <c r="D206" s="24"/>
      <c r="E206" s="24"/>
      <c r="F206" s="24"/>
      <c r="G206" s="24"/>
      <c r="H206" s="48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0" customHeight="1">
      <c r="A207" s="68"/>
      <c r="B207" s="24"/>
      <c r="C207" s="24"/>
      <c r="D207" s="24"/>
      <c r="E207" s="24"/>
      <c r="F207" s="24"/>
      <c r="G207" s="24"/>
      <c r="H207" s="48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0" customHeight="1">
      <c r="A208" s="68"/>
      <c r="B208" s="24"/>
      <c r="C208" s="24"/>
      <c r="D208" s="24"/>
      <c r="E208" s="24"/>
      <c r="F208" s="24"/>
      <c r="G208" s="24"/>
      <c r="H208" s="48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0" customHeight="1">
      <c r="A209" s="68"/>
      <c r="B209" s="24"/>
      <c r="C209" s="24"/>
      <c r="D209" s="24"/>
      <c r="E209" s="24"/>
      <c r="F209" s="24"/>
      <c r="G209" s="24"/>
      <c r="H209" s="48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0" customHeight="1">
      <c r="A210" s="68"/>
      <c r="B210" s="24"/>
      <c r="C210" s="24"/>
      <c r="D210" s="24"/>
      <c r="E210" s="24"/>
      <c r="F210" s="24"/>
      <c r="G210" s="24"/>
      <c r="H210" s="48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0" customHeight="1">
      <c r="A211" s="68"/>
      <c r="B211" s="24"/>
      <c r="C211" s="24"/>
      <c r="D211" s="24"/>
      <c r="E211" s="24"/>
      <c r="F211" s="24"/>
      <c r="G211" s="24"/>
      <c r="H211" s="48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0" customHeight="1">
      <c r="A212" s="68"/>
      <c r="B212" s="24"/>
      <c r="C212" s="24"/>
      <c r="D212" s="24"/>
      <c r="E212" s="24"/>
      <c r="F212" s="24"/>
      <c r="G212" s="24"/>
      <c r="H212" s="48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0" customHeight="1">
      <c r="A213" s="68"/>
      <c r="B213" s="24"/>
      <c r="C213" s="24"/>
      <c r="D213" s="24"/>
      <c r="E213" s="24"/>
      <c r="F213" s="24"/>
      <c r="G213" s="24"/>
      <c r="H213" s="48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0" customHeight="1">
      <c r="A214" s="68"/>
      <c r="B214" s="24"/>
      <c r="C214" s="24"/>
      <c r="D214" s="24"/>
      <c r="E214" s="24"/>
      <c r="F214" s="24"/>
      <c r="G214" s="24"/>
      <c r="H214" s="48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0" customHeight="1">
      <c r="A215" s="68"/>
      <c r="B215" s="24"/>
      <c r="C215" s="24"/>
      <c r="D215" s="24"/>
      <c r="E215" s="24"/>
      <c r="F215" s="24"/>
      <c r="G215" s="24"/>
      <c r="H215" s="48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0" customHeight="1">
      <c r="A216" s="68"/>
      <c r="B216" s="24"/>
      <c r="C216" s="24"/>
      <c r="D216" s="24"/>
      <c r="E216" s="24"/>
      <c r="F216" s="24"/>
      <c r="G216" s="24"/>
      <c r="H216" s="48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0" customHeight="1">
      <c r="A217" s="68"/>
      <c r="B217" s="24"/>
      <c r="C217" s="24"/>
      <c r="D217" s="24"/>
      <c r="E217" s="24"/>
      <c r="F217" s="24"/>
      <c r="G217" s="24"/>
      <c r="H217" s="48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0" customHeight="1">
      <c r="A218" s="68"/>
      <c r="B218" s="24"/>
      <c r="C218" s="24"/>
      <c r="D218" s="24"/>
      <c r="E218" s="24"/>
      <c r="F218" s="24"/>
      <c r="G218" s="24"/>
      <c r="H218" s="48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0" customHeight="1">
      <c r="A219" s="68"/>
      <c r="B219" s="24"/>
      <c r="C219" s="24"/>
      <c r="D219" s="24"/>
      <c r="E219" s="24"/>
      <c r="F219" s="24"/>
      <c r="G219" s="24"/>
      <c r="H219" s="48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0" customHeight="1">
      <c r="A220" s="68"/>
      <c r="B220" s="24"/>
      <c r="C220" s="24"/>
      <c r="D220" s="24"/>
      <c r="E220" s="24"/>
      <c r="F220" s="24"/>
      <c r="G220" s="24"/>
      <c r="H220" s="48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0" customHeight="1">
      <c r="A221" s="68"/>
      <c r="B221" s="24"/>
      <c r="C221" s="24"/>
      <c r="D221" s="24"/>
      <c r="E221" s="24"/>
      <c r="F221" s="24"/>
      <c r="G221" s="24"/>
      <c r="H221" s="48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0" customHeight="1">
      <c r="A222" s="68"/>
      <c r="B222" s="24"/>
      <c r="C222" s="24"/>
      <c r="D222" s="24"/>
      <c r="E222" s="24"/>
      <c r="F222" s="24"/>
      <c r="G222" s="24"/>
      <c r="H222" s="48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0" customHeight="1">
      <c r="A223" s="68"/>
      <c r="B223" s="24"/>
      <c r="C223" s="24"/>
      <c r="D223" s="24"/>
      <c r="E223" s="24"/>
      <c r="F223" s="24"/>
      <c r="G223" s="24"/>
      <c r="H223" s="48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0" customHeight="1">
      <c r="A224" s="68"/>
      <c r="B224" s="24"/>
      <c r="C224" s="24"/>
      <c r="D224" s="24"/>
      <c r="E224" s="24"/>
      <c r="F224" s="24"/>
      <c r="G224" s="24"/>
      <c r="H224" s="48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0" customHeight="1">
      <c r="A225" s="68"/>
      <c r="B225" s="24"/>
      <c r="C225" s="24"/>
      <c r="D225" s="24"/>
      <c r="E225" s="24"/>
      <c r="F225" s="24"/>
      <c r="G225" s="24"/>
      <c r="H225" s="48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0" customHeight="1">
      <c r="A226" s="68"/>
      <c r="B226" s="24"/>
      <c r="C226" s="24"/>
      <c r="D226" s="24"/>
      <c r="E226" s="24"/>
      <c r="F226" s="24"/>
      <c r="G226" s="24"/>
      <c r="H226" s="48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0" customHeight="1">
      <c r="A227" s="68"/>
      <c r="B227" s="24"/>
      <c r="C227" s="24"/>
      <c r="D227" s="24"/>
      <c r="E227" s="24"/>
      <c r="F227" s="24"/>
      <c r="G227" s="24"/>
      <c r="H227" s="48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0" customHeight="1">
      <c r="A228" s="68"/>
      <c r="B228" s="24"/>
      <c r="C228" s="24"/>
      <c r="D228" s="24"/>
      <c r="E228" s="24"/>
      <c r="F228" s="24"/>
      <c r="G228" s="24"/>
      <c r="H228" s="48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0" customHeight="1">
      <c r="A229" s="68"/>
      <c r="B229" s="24"/>
      <c r="C229" s="24"/>
      <c r="D229" s="24"/>
      <c r="E229" s="24"/>
      <c r="F229" s="24"/>
      <c r="G229" s="24"/>
      <c r="H229" s="48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0" customHeight="1">
      <c r="A230" s="68"/>
      <c r="B230" s="24"/>
      <c r="C230" s="24"/>
      <c r="D230" s="24"/>
      <c r="E230" s="24"/>
      <c r="F230" s="24"/>
      <c r="G230" s="24"/>
      <c r="H230" s="48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0" customHeight="1">
      <c r="A231" s="68"/>
      <c r="B231" s="24"/>
      <c r="C231" s="24"/>
      <c r="D231" s="24"/>
      <c r="E231" s="24"/>
      <c r="F231" s="24"/>
      <c r="G231" s="24"/>
      <c r="H231" s="48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0" customHeight="1">
      <c r="A232" s="68"/>
      <c r="B232" s="24"/>
      <c r="C232" s="24"/>
      <c r="D232" s="24"/>
      <c r="E232" s="24"/>
      <c r="F232" s="24"/>
      <c r="G232" s="24"/>
      <c r="H232" s="48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0" customHeight="1">
      <c r="A233" s="68"/>
      <c r="B233" s="24"/>
      <c r="C233" s="24"/>
      <c r="D233" s="24"/>
      <c r="E233" s="24"/>
      <c r="F233" s="24"/>
      <c r="G233" s="24"/>
      <c r="H233" s="48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0" customHeight="1">
      <c r="A234" s="68"/>
      <c r="B234" s="24"/>
      <c r="C234" s="24"/>
      <c r="D234" s="24"/>
      <c r="E234" s="24"/>
      <c r="F234" s="24"/>
      <c r="G234" s="24"/>
      <c r="H234" s="48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0" customHeight="1">
      <c r="A235" s="68"/>
      <c r="B235" s="24"/>
      <c r="C235" s="24"/>
      <c r="D235" s="24"/>
      <c r="E235" s="24"/>
      <c r="F235" s="24"/>
      <c r="G235" s="24"/>
      <c r="H235" s="48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0" customHeight="1">
      <c r="A236" s="68"/>
      <c r="B236" s="24"/>
      <c r="C236" s="24"/>
      <c r="D236" s="24"/>
      <c r="E236" s="24"/>
      <c r="F236" s="24"/>
      <c r="G236" s="24"/>
      <c r="H236" s="48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0" customHeight="1">
      <c r="A237" s="68"/>
      <c r="B237" s="24"/>
      <c r="C237" s="24"/>
      <c r="D237" s="24"/>
      <c r="E237" s="24"/>
      <c r="F237" s="24"/>
      <c r="G237" s="24"/>
      <c r="H237" s="48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0" customHeight="1">
      <c r="A238" s="68"/>
      <c r="B238" s="24"/>
      <c r="C238" s="24"/>
      <c r="D238" s="24"/>
      <c r="E238" s="24"/>
      <c r="F238" s="24"/>
      <c r="G238" s="24"/>
      <c r="H238" s="48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0" customHeight="1">
      <c r="A239" s="68"/>
      <c r="B239" s="24"/>
      <c r="C239" s="24"/>
      <c r="D239" s="24"/>
      <c r="E239" s="24"/>
      <c r="F239" s="24"/>
      <c r="G239" s="24"/>
      <c r="H239" s="48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0" customHeight="1">
      <c r="A240" s="68"/>
      <c r="B240" s="24"/>
      <c r="C240" s="24"/>
      <c r="D240" s="24"/>
      <c r="E240" s="24"/>
      <c r="F240" s="24"/>
      <c r="G240" s="24"/>
      <c r="H240" s="48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0" customHeight="1">
      <c r="A241" s="68"/>
      <c r="B241" s="24"/>
      <c r="C241" s="24"/>
      <c r="D241" s="24"/>
      <c r="E241" s="24"/>
      <c r="F241" s="24"/>
      <c r="G241" s="24"/>
      <c r="H241" s="48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0" customHeight="1">
      <c r="A242" s="68"/>
      <c r="B242" s="24"/>
      <c r="C242" s="24"/>
      <c r="D242" s="24"/>
      <c r="E242" s="24"/>
      <c r="F242" s="24"/>
      <c r="G242" s="24"/>
      <c r="H242" s="48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0" customHeight="1">
      <c r="A243" s="68"/>
      <c r="B243" s="24"/>
      <c r="C243" s="24"/>
      <c r="D243" s="24"/>
      <c r="E243" s="24"/>
      <c r="F243" s="24"/>
      <c r="G243" s="24"/>
      <c r="H243" s="48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0" customHeight="1">
      <c r="A244" s="68"/>
      <c r="B244" s="24"/>
      <c r="C244" s="24"/>
      <c r="D244" s="24"/>
      <c r="E244" s="24"/>
      <c r="F244" s="24"/>
      <c r="G244" s="24"/>
      <c r="H244" s="48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0" customHeight="1">
      <c r="A245" s="68"/>
      <c r="B245" s="24"/>
      <c r="C245" s="24"/>
      <c r="D245" s="24"/>
      <c r="E245" s="24"/>
      <c r="F245" s="24"/>
      <c r="G245" s="24"/>
      <c r="H245" s="48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0" customHeight="1">
      <c r="A246" s="68"/>
      <c r="B246" s="24"/>
      <c r="C246" s="24"/>
      <c r="D246" s="24"/>
      <c r="E246" s="24"/>
      <c r="F246" s="24"/>
      <c r="G246" s="24"/>
      <c r="H246" s="48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0" customHeight="1">
      <c r="A247" s="68"/>
      <c r="B247" s="24"/>
      <c r="C247" s="24"/>
      <c r="D247" s="24"/>
      <c r="E247" s="24"/>
      <c r="F247" s="24"/>
      <c r="G247" s="24"/>
      <c r="H247" s="48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0" customHeight="1">
      <c r="A248" s="68"/>
      <c r="B248" s="24"/>
      <c r="C248" s="24"/>
      <c r="D248" s="24"/>
      <c r="E248" s="24"/>
      <c r="F248" s="24"/>
      <c r="G248" s="24"/>
      <c r="H248" s="48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0" customHeight="1">
      <c r="A249" s="68"/>
      <c r="B249" s="24"/>
      <c r="C249" s="24"/>
      <c r="D249" s="24"/>
      <c r="E249" s="24"/>
      <c r="F249" s="24"/>
      <c r="G249" s="24"/>
      <c r="H249" s="48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0" customHeight="1">
      <c r="A250" s="68"/>
      <c r="B250" s="24"/>
      <c r="C250" s="24"/>
      <c r="D250" s="24"/>
      <c r="E250" s="24"/>
      <c r="F250" s="24"/>
      <c r="G250" s="24"/>
      <c r="H250" s="48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0" customHeight="1">
      <c r="A251" s="68"/>
      <c r="B251" s="24"/>
      <c r="C251" s="24"/>
      <c r="D251" s="24"/>
      <c r="E251" s="24"/>
      <c r="F251" s="24"/>
      <c r="G251" s="24"/>
      <c r="H251" s="48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0" customHeight="1">
      <c r="A252" s="68"/>
      <c r="B252" s="24"/>
      <c r="C252" s="24"/>
      <c r="D252" s="24"/>
      <c r="E252" s="24"/>
      <c r="F252" s="24"/>
      <c r="G252" s="24"/>
      <c r="H252" s="48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0" customHeight="1">
      <c r="A253" s="68"/>
      <c r="B253" s="24"/>
      <c r="C253" s="24"/>
      <c r="D253" s="24"/>
      <c r="E253" s="24"/>
      <c r="F253" s="24"/>
      <c r="G253" s="24"/>
      <c r="H253" s="48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0" customHeight="1">
      <c r="A254" s="68"/>
      <c r="B254" s="24"/>
      <c r="C254" s="24"/>
      <c r="D254" s="24"/>
      <c r="E254" s="24"/>
      <c r="F254" s="24"/>
      <c r="G254" s="24"/>
      <c r="H254" s="48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0" customHeight="1">
      <c r="A255" s="68"/>
      <c r="B255" s="24"/>
      <c r="C255" s="24"/>
      <c r="D255" s="24"/>
      <c r="E255" s="24"/>
      <c r="F255" s="24"/>
      <c r="G255" s="24"/>
      <c r="H255" s="48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0" customHeight="1">
      <c r="A256" s="68"/>
      <c r="B256" s="24"/>
      <c r="C256" s="24"/>
      <c r="D256" s="24"/>
      <c r="E256" s="24"/>
      <c r="F256" s="24"/>
      <c r="G256" s="24"/>
      <c r="H256" s="48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0" customHeight="1">
      <c r="A257" s="68"/>
      <c r="B257" s="24"/>
      <c r="C257" s="24"/>
      <c r="D257" s="24"/>
      <c r="E257" s="24"/>
      <c r="F257" s="24"/>
      <c r="G257" s="24"/>
      <c r="H257" s="48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0" customHeight="1">
      <c r="A258" s="68"/>
      <c r="B258" s="24"/>
      <c r="C258" s="24"/>
      <c r="D258" s="24"/>
      <c r="E258" s="24"/>
      <c r="F258" s="24"/>
      <c r="G258" s="24"/>
      <c r="H258" s="48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0" customHeight="1">
      <c r="A259" s="68"/>
      <c r="B259" s="24"/>
      <c r="C259" s="24"/>
      <c r="D259" s="24"/>
      <c r="E259" s="24"/>
      <c r="F259" s="24"/>
      <c r="G259" s="24"/>
      <c r="H259" s="48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0" customHeight="1">
      <c r="A260" s="68"/>
      <c r="B260" s="24"/>
      <c r="C260" s="24"/>
      <c r="D260" s="24"/>
      <c r="E260" s="24"/>
      <c r="F260" s="24"/>
      <c r="G260" s="24"/>
      <c r="H260" s="48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0" customHeight="1">
      <c r="A261" s="68"/>
      <c r="B261" s="24"/>
      <c r="C261" s="24"/>
      <c r="D261" s="24"/>
      <c r="E261" s="24"/>
      <c r="F261" s="24"/>
      <c r="G261" s="24"/>
      <c r="H261" s="48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0" customHeight="1">
      <c r="A262" s="68"/>
      <c r="B262" s="24"/>
      <c r="C262" s="24"/>
      <c r="D262" s="24"/>
      <c r="E262" s="24"/>
      <c r="F262" s="24"/>
      <c r="G262" s="24"/>
      <c r="H262" s="48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0" customHeight="1">
      <c r="A263" s="68"/>
      <c r="B263" s="24"/>
      <c r="C263" s="24"/>
      <c r="D263" s="24"/>
      <c r="E263" s="24"/>
      <c r="F263" s="24"/>
      <c r="G263" s="24"/>
      <c r="H263" s="48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0" customHeight="1">
      <c r="A264" s="68"/>
      <c r="B264" s="24"/>
      <c r="C264" s="24"/>
      <c r="D264" s="24"/>
      <c r="E264" s="24"/>
      <c r="F264" s="24"/>
      <c r="G264" s="24"/>
      <c r="H264" s="48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0" customHeight="1">
      <c r="A265" s="68"/>
      <c r="B265" s="24"/>
      <c r="C265" s="24"/>
      <c r="D265" s="24"/>
      <c r="E265" s="24"/>
      <c r="F265" s="24"/>
      <c r="G265" s="24"/>
      <c r="H265" s="48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0" customHeight="1">
      <c r="A266" s="68"/>
      <c r="B266" s="24"/>
      <c r="C266" s="24"/>
      <c r="D266" s="24"/>
      <c r="E266" s="24"/>
      <c r="F266" s="24"/>
      <c r="G266" s="24"/>
      <c r="H266" s="48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0" customHeight="1">
      <c r="A267" s="68"/>
      <c r="B267" s="24"/>
      <c r="C267" s="24"/>
      <c r="D267" s="24"/>
      <c r="E267" s="24"/>
      <c r="F267" s="24"/>
      <c r="G267" s="24"/>
      <c r="H267" s="48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0" customHeight="1">
      <c r="A268" s="68"/>
      <c r="B268" s="24"/>
      <c r="C268" s="24"/>
      <c r="D268" s="24"/>
      <c r="E268" s="24"/>
      <c r="F268" s="24"/>
      <c r="G268" s="24"/>
      <c r="H268" s="48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0" customHeight="1">
      <c r="A269" s="68"/>
      <c r="B269" s="24"/>
      <c r="C269" s="24"/>
      <c r="D269" s="24"/>
      <c r="E269" s="24"/>
      <c r="F269" s="24"/>
      <c r="G269" s="24"/>
      <c r="H269" s="48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0" customHeight="1">
      <c r="A270" s="68"/>
      <c r="B270" s="24"/>
      <c r="C270" s="24"/>
      <c r="D270" s="24"/>
      <c r="E270" s="24"/>
      <c r="F270" s="24"/>
      <c r="G270" s="24"/>
      <c r="H270" s="48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0" customHeight="1">
      <c r="A271" s="68"/>
      <c r="B271" s="24"/>
      <c r="C271" s="24"/>
      <c r="D271" s="24"/>
      <c r="E271" s="24"/>
      <c r="F271" s="24"/>
      <c r="G271" s="24"/>
      <c r="H271" s="48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0" customHeight="1">
      <c r="A272" s="68"/>
      <c r="B272" s="24"/>
      <c r="C272" s="24"/>
      <c r="D272" s="24"/>
      <c r="E272" s="24"/>
      <c r="F272" s="24"/>
      <c r="G272" s="24"/>
      <c r="H272" s="48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0" customHeight="1">
      <c r="A273" s="68"/>
      <c r="B273" s="24"/>
      <c r="C273" s="24"/>
      <c r="D273" s="24"/>
      <c r="E273" s="24"/>
      <c r="F273" s="24"/>
      <c r="G273" s="24"/>
      <c r="H273" s="48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0" customHeight="1">
      <c r="A274" s="68"/>
      <c r="B274" s="24"/>
      <c r="C274" s="24"/>
      <c r="D274" s="24"/>
      <c r="E274" s="24"/>
      <c r="F274" s="24"/>
      <c r="G274" s="24"/>
      <c r="H274" s="48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0" customHeight="1">
      <c r="A275" s="68"/>
      <c r="B275" s="24"/>
      <c r="C275" s="24"/>
      <c r="D275" s="24"/>
      <c r="E275" s="24"/>
      <c r="F275" s="24"/>
      <c r="G275" s="24"/>
      <c r="H275" s="48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0" customHeight="1">
      <c r="A276" s="68"/>
      <c r="B276" s="24"/>
      <c r="C276" s="24"/>
      <c r="D276" s="24"/>
      <c r="E276" s="24"/>
      <c r="F276" s="24"/>
      <c r="G276" s="24"/>
      <c r="H276" s="48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0" customHeight="1">
      <c r="A277" s="68"/>
      <c r="B277" s="24"/>
      <c r="C277" s="24"/>
      <c r="D277" s="24"/>
      <c r="E277" s="24"/>
      <c r="F277" s="24"/>
      <c r="G277" s="24"/>
      <c r="H277" s="48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0" customHeight="1">
      <c r="A278" s="68"/>
      <c r="B278" s="24"/>
      <c r="C278" s="24"/>
      <c r="D278" s="24"/>
      <c r="E278" s="24"/>
      <c r="F278" s="24"/>
      <c r="G278" s="24"/>
      <c r="H278" s="48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0" customHeight="1">
      <c r="A279" s="68"/>
      <c r="B279" s="24"/>
      <c r="C279" s="24"/>
      <c r="D279" s="24"/>
      <c r="E279" s="24"/>
      <c r="F279" s="24"/>
      <c r="G279" s="24"/>
      <c r="H279" s="48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0" customHeight="1">
      <c r="A280" s="68"/>
      <c r="B280" s="24"/>
      <c r="C280" s="24"/>
      <c r="D280" s="24"/>
      <c r="E280" s="24"/>
      <c r="F280" s="24"/>
      <c r="G280" s="24"/>
      <c r="H280" s="48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0" customHeight="1">
      <c r="A281" s="68"/>
      <c r="B281" s="24"/>
      <c r="C281" s="24"/>
      <c r="D281" s="24"/>
      <c r="E281" s="24"/>
      <c r="F281" s="24"/>
      <c r="G281" s="24"/>
      <c r="H281" s="48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0" customHeight="1">
      <c r="A282" s="68"/>
      <c r="B282" s="24"/>
      <c r="C282" s="24"/>
      <c r="D282" s="24"/>
      <c r="E282" s="24"/>
      <c r="F282" s="24"/>
      <c r="G282" s="24"/>
      <c r="H282" s="48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0" customHeight="1">
      <c r="A283" s="68"/>
      <c r="B283" s="24"/>
      <c r="C283" s="24"/>
      <c r="D283" s="24"/>
      <c r="E283" s="24"/>
      <c r="F283" s="24"/>
      <c r="G283" s="24"/>
      <c r="H283" s="48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0" customHeight="1">
      <c r="A284" s="68"/>
      <c r="B284" s="24"/>
      <c r="C284" s="24"/>
      <c r="D284" s="24"/>
      <c r="E284" s="24"/>
      <c r="F284" s="24"/>
      <c r="G284" s="24"/>
      <c r="H284" s="48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0" customHeight="1">
      <c r="A285" s="68"/>
      <c r="B285" s="24"/>
      <c r="C285" s="24"/>
      <c r="D285" s="24"/>
      <c r="E285" s="24"/>
      <c r="F285" s="24"/>
      <c r="G285" s="24"/>
      <c r="H285" s="48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0" customHeight="1">
      <c r="A286" s="68"/>
      <c r="B286" s="24"/>
      <c r="C286" s="24"/>
      <c r="D286" s="24"/>
      <c r="E286" s="24"/>
      <c r="F286" s="24"/>
      <c r="G286" s="24"/>
      <c r="H286" s="48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0" customHeight="1">
      <c r="A287" s="68"/>
      <c r="B287" s="24"/>
      <c r="C287" s="24"/>
      <c r="D287" s="24"/>
      <c r="E287" s="24"/>
      <c r="F287" s="24"/>
      <c r="G287" s="24"/>
      <c r="H287" s="48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0" customHeight="1">
      <c r="A288" s="68"/>
      <c r="B288" s="24"/>
      <c r="C288" s="24"/>
      <c r="D288" s="24"/>
      <c r="E288" s="24"/>
      <c r="F288" s="24"/>
      <c r="G288" s="24"/>
      <c r="H288" s="48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0" customHeight="1">
      <c r="A289" s="68"/>
      <c r="B289" s="24"/>
      <c r="C289" s="24"/>
      <c r="D289" s="24"/>
      <c r="E289" s="24"/>
      <c r="F289" s="24"/>
      <c r="G289" s="24"/>
      <c r="H289" s="48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0" customHeight="1">
      <c r="A290" s="68"/>
      <c r="B290" s="24"/>
      <c r="C290" s="24"/>
      <c r="D290" s="24"/>
      <c r="E290" s="24"/>
      <c r="F290" s="24"/>
      <c r="G290" s="24"/>
      <c r="H290" s="48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0" customHeight="1">
      <c r="A291" s="68"/>
      <c r="B291" s="24"/>
      <c r="C291" s="24"/>
      <c r="D291" s="24"/>
      <c r="E291" s="24"/>
      <c r="F291" s="24"/>
      <c r="G291" s="24"/>
      <c r="H291" s="48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0" customHeight="1">
      <c r="A292" s="68"/>
      <c r="B292" s="24"/>
      <c r="C292" s="24"/>
      <c r="D292" s="24"/>
      <c r="E292" s="24"/>
      <c r="F292" s="24"/>
      <c r="G292" s="24"/>
      <c r="H292" s="48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0" customHeight="1">
      <c r="A293" s="68"/>
      <c r="B293" s="24"/>
      <c r="C293" s="24"/>
      <c r="D293" s="24"/>
      <c r="E293" s="24"/>
      <c r="F293" s="24"/>
      <c r="G293" s="24"/>
      <c r="H293" s="48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0" customHeight="1">
      <c r="A294" s="68"/>
      <c r="B294" s="24"/>
      <c r="C294" s="24"/>
      <c r="D294" s="24"/>
      <c r="E294" s="24"/>
      <c r="F294" s="24"/>
      <c r="G294" s="24"/>
      <c r="H294" s="48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0" customHeight="1">
      <c r="A295" s="68"/>
      <c r="B295" s="24"/>
      <c r="C295" s="24"/>
      <c r="D295" s="24"/>
      <c r="E295" s="24"/>
      <c r="F295" s="24"/>
      <c r="G295" s="24"/>
      <c r="H295" s="48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0" customHeight="1">
      <c r="A296" s="68"/>
      <c r="B296" s="24"/>
      <c r="C296" s="24"/>
      <c r="D296" s="24"/>
      <c r="E296" s="24"/>
      <c r="F296" s="24"/>
      <c r="G296" s="24"/>
      <c r="H296" s="48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0" customHeight="1">
      <c r="A297" s="68"/>
      <c r="B297" s="24"/>
      <c r="C297" s="24"/>
      <c r="D297" s="24"/>
      <c r="E297" s="24"/>
      <c r="F297" s="24"/>
      <c r="G297" s="24"/>
      <c r="H297" s="48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0" customHeight="1">
      <c r="A298" s="68"/>
      <c r="B298" s="24"/>
      <c r="C298" s="24"/>
      <c r="D298" s="24"/>
      <c r="E298" s="24"/>
      <c r="F298" s="24"/>
      <c r="G298" s="24"/>
      <c r="H298" s="48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0" customHeight="1">
      <c r="A299" s="68"/>
      <c r="B299" s="24"/>
      <c r="C299" s="24"/>
      <c r="D299" s="24"/>
      <c r="E299" s="24"/>
      <c r="F299" s="24"/>
      <c r="G299" s="24"/>
      <c r="H299" s="48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0" customHeight="1">
      <c r="A300" s="68"/>
      <c r="B300" s="24"/>
      <c r="C300" s="24"/>
      <c r="D300" s="24"/>
      <c r="E300" s="24"/>
      <c r="F300" s="24"/>
      <c r="G300" s="24"/>
      <c r="H300" s="48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0" customHeight="1">
      <c r="A301" s="68"/>
      <c r="B301" s="24"/>
      <c r="C301" s="24"/>
      <c r="D301" s="24"/>
      <c r="E301" s="24"/>
      <c r="F301" s="24"/>
      <c r="G301" s="24"/>
      <c r="H301" s="48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0" customHeight="1">
      <c r="A302" s="68"/>
      <c r="B302" s="24"/>
      <c r="C302" s="24"/>
      <c r="D302" s="24"/>
      <c r="E302" s="24"/>
      <c r="F302" s="24"/>
      <c r="G302" s="24"/>
      <c r="H302" s="48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0" customHeight="1">
      <c r="A303" s="68"/>
      <c r="B303" s="24"/>
      <c r="C303" s="24"/>
      <c r="D303" s="24"/>
      <c r="E303" s="24"/>
      <c r="F303" s="24"/>
      <c r="G303" s="24"/>
      <c r="H303" s="48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0" customHeight="1">
      <c r="A304" s="68"/>
      <c r="B304" s="24"/>
      <c r="C304" s="24"/>
      <c r="D304" s="24"/>
      <c r="E304" s="24"/>
      <c r="F304" s="24"/>
      <c r="G304" s="24"/>
      <c r="H304" s="48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0" customHeight="1">
      <c r="A305" s="68"/>
      <c r="B305" s="24"/>
      <c r="C305" s="24"/>
      <c r="D305" s="24"/>
      <c r="E305" s="24"/>
      <c r="F305" s="24"/>
      <c r="G305" s="24"/>
      <c r="H305" s="48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0" customHeight="1">
      <c r="A306" s="68"/>
      <c r="B306" s="24"/>
      <c r="C306" s="24"/>
      <c r="D306" s="24"/>
      <c r="E306" s="24"/>
      <c r="F306" s="24"/>
      <c r="G306" s="24"/>
      <c r="H306" s="48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0" customHeight="1">
      <c r="A307" s="68"/>
      <c r="B307" s="24"/>
      <c r="C307" s="24"/>
      <c r="D307" s="24"/>
      <c r="E307" s="24"/>
      <c r="F307" s="24"/>
      <c r="G307" s="24"/>
      <c r="H307" s="48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0" customHeight="1">
      <c r="A308" s="68"/>
      <c r="B308" s="24"/>
      <c r="C308" s="24"/>
      <c r="D308" s="24"/>
      <c r="E308" s="24"/>
      <c r="F308" s="24"/>
      <c r="G308" s="24"/>
      <c r="H308" s="48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0" customHeight="1">
      <c r="A309" s="68"/>
      <c r="B309" s="24"/>
      <c r="C309" s="24"/>
      <c r="D309" s="24"/>
      <c r="E309" s="24"/>
      <c r="F309" s="24"/>
      <c r="G309" s="24"/>
      <c r="H309" s="48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0" customHeight="1">
      <c r="A310" s="68"/>
      <c r="B310" s="24"/>
      <c r="C310" s="24"/>
      <c r="D310" s="24"/>
      <c r="E310" s="24"/>
      <c r="F310" s="24"/>
      <c r="G310" s="24"/>
      <c r="H310" s="48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0" customHeight="1">
      <c r="A311" s="68"/>
      <c r="B311" s="24"/>
      <c r="C311" s="24"/>
      <c r="D311" s="24"/>
      <c r="E311" s="24"/>
      <c r="F311" s="24"/>
      <c r="G311" s="24"/>
      <c r="H311" s="48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0" customHeight="1">
      <c r="A312" s="68"/>
      <c r="B312" s="24"/>
      <c r="C312" s="24"/>
      <c r="D312" s="24"/>
      <c r="E312" s="24"/>
      <c r="F312" s="24"/>
      <c r="G312" s="24"/>
      <c r="H312" s="48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0" customHeight="1">
      <c r="A313" s="68"/>
      <c r="B313" s="24"/>
      <c r="C313" s="24"/>
      <c r="D313" s="24"/>
      <c r="E313" s="24"/>
      <c r="F313" s="24"/>
      <c r="G313" s="24"/>
      <c r="H313" s="48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0" customHeight="1">
      <c r="A314" s="68"/>
      <c r="B314" s="24"/>
      <c r="C314" s="24"/>
      <c r="D314" s="24"/>
      <c r="E314" s="24"/>
      <c r="F314" s="24"/>
      <c r="G314" s="24"/>
      <c r="H314" s="48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0" customHeight="1">
      <c r="A315" s="68"/>
      <c r="B315" s="24"/>
      <c r="C315" s="24"/>
      <c r="D315" s="24"/>
      <c r="E315" s="24"/>
      <c r="F315" s="24"/>
      <c r="G315" s="24"/>
      <c r="H315" s="48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0" customHeight="1">
      <c r="A316" s="68"/>
      <c r="B316" s="24"/>
      <c r="C316" s="24"/>
      <c r="D316" s="24"/>
      <c r="E316" s="24"/>
      <c r="F316" s="24"/>
      <c r="G316" s="24"/>
      <c r="H316" s="48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0" customHeight="1">
      <c r="A317" s="68"/>
      <c r="B317" s="24"/>
      <c r="C317" s="24"/>
      <c r="D317" s="24"/>
      <c r="E317" s="24"/>
      <c r="F317" s="24"/>
      <c r="G317" s="24"/>
      <c r="H317" s="48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0" customHeight="1">
      <c r="A318" s="68"/>
      <c r="B318" s="24"/>
      <c r="C318" s="24"/>
      <c r="D318" s="24"/>
      <c r="E318" s="24"/>
      <c r="F318" s="24"/>
      <c r="G318" s="24"/>
      <c r="H318" s="48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0" customHeight="1">
      <c r="A319" s="68"/>
      <c r="B319" s="24"/>
      <c r="C319" s="24"/>
      <c r="D319" s="24"/>
      <c r="E319" s="24"/>
      <c r="F319" s="24"/>
      <c r="G319" s="24"/>
      <c r="H319" s="48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0" customHeight="1">
      <c r="A320" s="68"/>
      <c r="B320" s="24"/>
      <c r="C320" s="24"/>
      <c r="D320" s="24"/>
      <c r="E320" s="24"/>
      <c r="F320" s="24"/>
      <c r="G320" s="24"/>
      <c r="H320" s="48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0" customHeight="1">
      <c r="A321" s="68"/>
      <c r="B321" s="24"/>
      <c r="C321" s="24"/>
      <c r="D321" s="24"/>
      <c r="E321" s="24"/>
      <c r="F321" s="24"/>
      <c r="G321" s="24"/>
      <c r="H321" s="48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0" customHeight="1">
      <c r="A322" s="68"/>
      <c r="B322" s="24"/>
      <c r="C322" s="24"/>
      <c r="D322" s="24"/>
      <c r="E322" s="24"/>
      <c r="F322" s="24"/>
      <c r="G322" s="24"/>
      <c r="H322" s="48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0" customHeight="1">
      <c r="A323" s="68"/>
      <c r="B323" s="24"/>
      <c r="C323" s="24"/>
      <c r="D323" s="24"/>
      <c r="E323" s="24"/>
      <c r="F323" s="24"/>
      <c r="G323" s="24"/>
      <c r="H323" s="48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0" customHeight="1">
      <c r="A324" s="68"/>
      <c r="B324" s="24"/>
      <c r="C324" s="24"/>
      <c r="D324" s="24"/>
      <c r="E324" s="24"/>
      <c r="F324" s="24"/>
      <c r="G324" s="24"/>
      <c r="H324" s="48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0" customHeight="1">
      <c r="A325" s="68"/>
      <c r="B325" s="24"/>
      <c r="C325" s="24"/>
      <c r="D325" s="24"/>
      <c r="E325" s="24"/>
      <c r="F325" s="24"/>
      <c r="G325" s="24"/>
      <c r="H325" s="48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0" customHeight="1">
      <c r="A326" s="68"/>
      <c r="B326" s="24"/>
      <c r="C326" s="24"/>
      <c r="D326" s="24"/>
      <c r="E326" s="24"/>
      <c r="F326" s="24"/>
      <c r="G326" s="24"/>
      <c r="H326" s="48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0" customHeight="1">
      <c r="A327" s="68"/>
      <c r="B327" s="24"/>
      <c r="C327" s="24"/>
      <c r="D327" s="24"/>
      <c r="E327" s="24"/>
      <c r="F327" s="24"/>
      <c r="G327" s="24"/>
      <c r="H327" s="48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0" customHeight="1">
      <c r="A328" s="68"/>
      <c r="B328" s="24"/>
      <c r="C328" s="24"/>
      <c r="D328" s="24"/>
      <c r="E328" s="24"/>
      <c r="F328" s="24"/>
      <c r="G328" s="24"/>
      <c r="H328" s="48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0" customHeight="1">
      <c r="A329" s="68"/>
      <c r="B329" s="24"/>
      <c r="C329" s="24"/>
      <c r="D329" s="24"/>
      <c r="E329" s="24"/>
      <c r="F329" s="24"/>
      <c r="G329" s="24"/>
      <c r="H329" s="48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0" customHeight="1">
      <c r="A330" s="68"/>
      <c r="B330" s="24"/>
      <c r="C330" s="24"/>
      <c r="D330" s="24"/>
      <c r="E330" s="24"/>
      <c r="F330" s="24"/>
      <c r="G330" s="24"/>
      <c r="H330" s="48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0" customHeight="1">
      <c r="A331" s="68"/>
      <c r="B331" s="24"/>
      <c r="C331" s="24"/>
      <c r="D331" s="24"/>
      <c r="E331" s="24"/>
      <c r="F331" s="24"/>
      <c r="G331" s="24"/>
      <c r="H331" s="48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0" customHeight="1">
      <c r="A332" s="68"/>
      <c r="B332" s="24"/>
      <c r="C332" s="24"/>
      <c r="D332" s="24"/>
      <c r="E332" s="24"/>
      <c r="F332" s="24"/>
      <c r="G332" s="24"/>
      <c r="H332" s="48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0" customHeight="1">
      <c r="A333" s="68"/>
      <c r="B333" s="24"/>
      <c r="C333" s="24"/>
      <c r="D333" s="24"/>
      <c r="E333" s="24"/>
      <c r="F333" s="24"/>
      <c r="G333" s="24"/>
      <c r="H333" s="48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0" customHeight="1">
      <c r="A334" s="68"/>
      <c r="B334" s="24"/>
      <c r="C334" s="24"/>
      <c r="D334" s="24"/>
      <c r="E334" s="24"/>
      <c r="F334" s="24"/>
      <c r="G334" s="24"/>
      <c r="H334" s="48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0" customHeight="1">
      <c r="A335" s="68"/>
      <c r="B335" s="24"/>
      <c r="C335" s="24"/>
      <c r="D335" s="24"/>
      <c r="E335" s="24"/>
      <c r="F335" s="24"/>
      <c r="G335" s="24"/>
      <c r="H335" s="48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0" customHeight="1">
      <c r="A336" s="68"/>
      <c r="B336" s="24"/>
      <c r="C336" s="24"/>
      <c r="D336" s="24"/>
      <c r="E336" s="24"/>
      <c r="F336" s="24"/>
      <c r="G336" s="24"/>
      <c r="H336" s="48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0" customHeight="1">
      <c r="A337" s="68"/>
      <c r="B337" s="24"/>
      <c r="C337" s="24"/>
      <c r="D337" s="24"/>
      <c r="E337" s="24"/>
      <c r="F337" s="24"/>
      <c r="G337" s="24"/>
      <c r="H337" s="48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0" customHeight="1">
      <c r="A338" s="68"/>
      <c r="B338" s="24"/>
      <c r="C338" s="24"/>
      <c r="D338" s="24"/>
      <c r="E338" s="24"/>
      <c r="F338" s="24"/>
      <c r="G338" s="24"/>
      <c r="H338" s="48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0" customHeight="1">
      <c r="A339" s="68"/>
      <c r="B339" s="24"/>
      <c r="C339" s="24"/>
      <c r="D339" s="24"/>
      <c r="E339" s="24"/>
      <c r="F339" s="24"/>
      <c r="G339" s="24"/>
      <c r="H339" s="48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0" customHeight="1">
      <c r="A340" s="68"/>
      <c r="B340" s="24"/>
      <c r="C340" s="24"/>
      <c r="D340" s="24"/>
      <c r="E340" s="24"/>
      <c r="F340" s="24"/>
      <c r="G340" s="24"/>
      <c r="H340" s="48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0" customHeight="1">
      <c r="A341" s="68"/>
      <c r="B341" s="24"/>
      <c r="C341" s="24"/>
      <c r="D341" s="24"/>
      <c r="E341" s="24"/>
      <c r="F341" s="24"/>
      <c r="G341" s="24"/>
      <c r="H341" s="48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0" customHeight="1">
      <c r="A342" s="68"/>
      <c r="B342" s="24"/>
      <c r="C342" s="24"/>
      <c r="D342" s="24"/>
      <c r="E342" s="24"/>
      <c r="F342" s="24"/>
      <c r="G342" s="24"/>
      <c r="H342" s="48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0" customHeight="1">
      <c r="A343" s="68"/>
      <c r="B343" s="24"/>
      <c r="C343" s="24"/>
      <c r="D343" s="24"/>
      <c r="E343" s="24"/>
      <c r="F343" s="24"/>
      <c r="G343" s="24"/>
      <c r="H343" s="48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0" customHeight="1">
      <c r="A344" s="68"/>
      <c r="B344" s="24"/>
      <c r="C344" s="24"/>
      <c r="D344" s="24"/>
      <c r="E344" s="24"/>
      <c r="F344" s="24"/>
      <c r="G344" s="24"/>
      <c r="H344" s="48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0" customHeight="1">
      <c r="A345" s="68"/>
      <c r="B345" s="24"/>
      <c r="C345" s="24"/>
      <c r="D345" s="24"/>
      <c r="E345" s="24"/>
      <c r="F345" s="24"/>
      <c r="G345" s="24"/>
      <c r="H345" s="48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0" customHeight="1">
      <c r="A346" s="68"/>
      <c r="B346" s="24"/>
      <c r="C346" s="24"/>
      <c r="D346" s="24"/>
      <c r="E346" s="24"/>
      <c r="F346" s="24"/>
      <c r="G346" s="24"/>
      <c r="H346" s="48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0" customHeight="1">
      <c r="A347" s="68"/>
      <c r="B347" s="24"/>
      <c r="C347" s="24"/>
      <c r="D347" s="24"/>
      <c r="E347" s="24"/>
      <c r="F347" s="24"/>
      <c r="G347" s="24"/>
      <c r="H347" s="48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0" customHeight="1">
      <c r="A348" s="68"/>
      <c r="B348" s="24"/>
      <c r="C348" s="24"/>
      <c r="D348" s="24"/>
      <c r="E348" s="24"/>
      <c r="F348" s="24"/>
      <c r="G348" s="24"/>
      <c r="H348" s="48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0" customHeight="1">
      <c r="A349" s="68"/>
      <c r="B349" s="24"/>
      <c r="C349" s="24"/>
      <c r="D349" s="24"/>
      <c r="E349" s="24"/>
      <c r="F349" s="24"/>
      <c r="G349" s="24"/>
      <c r="H349" s="48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0" customHeight="1">
      <c r="A350" s="68"/>
      <c r="B350" s="24"/>
      <c r="C350" s="24"/>
      <c r="D350" s="24"/>
      <c r="E350" s="24"/>
      <c r="F350" s="24"/>
      <c r="G350" s="24"/>
      <c r="H350" s="48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0" customHeight="1">
      <c r="A351" s="68"/>
      <c r="B351" s="24"/>
      <c r="C351" s="24"/>
      <c r="D351" s="24"/>
      <c r="E351" s="24"/>
      <c r="F351" s="24"/>
      <c r="G351" s="24"/>
      <c r="H351" s="48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0" customHeight="1">
      <c r="A352" s="68"/>
      <c r="B352" s="24"/>
      <c r="C352" s="24"/>
      <c r="D352" s="24"/>
      <c r="E352" s="24"/>
      <c r="F352" s="24"/>
      <c r="G352" s="24"/>
      <c r="H352" s="48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0" customHeight="1">
      <c r="A353" s="68"/>
      <c r="B353" s="24"/>
      <c r="C353" s="24"/>
      <c r="D353" s="24"/>
      <c r="E353" s="24"/>
      <c r="F353" s="24"/>
      <c r="G353" s="24"/>
      <c r="H353" s="48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0" customHeight="1">
      <c r="A354" s="68"/>
      <c r="B354" s="24"/>
      <c r="C354" s="24"/>
      <c r="D354" s="24"/>
      <c r="E354" s="24"/>
      <c r="F354" s="24"/>
      <c r="G354" s="24"/>
      <c r="H354" s="48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0" customHeight="1">
      <c r="A355" s="68"/>
      <c r="B355" s="24"/>
      <c r="C355" s="24"/>
      <c r="D355" s="24"/>
      <c r="E355" s="24"/>
      <c r="F355" s="24"/>
      <c r="G355" s="24"/>
      <c r="H355" s="48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0" customHeight="1">
      <c r="A356" s="68"/>
      <c r="B356" s="24"/>
      <c r="C356" s="24"/>
      <c r="D356" s="24"/>
      <c r="E356" s="24"/>
      <c r="F356" s="24"/>
      <c r="G356" s="24"/>
      <c r="H356" s="48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0" customHeight="1">
      <c r="A357" s="68"/>
      <c r="B357" s="24"/>
      <c r="C357" s="24"/>
      <c r="D357" s="24"/>
      <c r="E357" s="24"/>
      <c r="F357" s="24"/>
      <c r="G357" s="24"/>
      <c r="H357" s="48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0" customHeight="1">
      <c r="A358" s="68"/>
      <c r="B358" s="24"/>
      <c r="C358" s="24"/>
      <c r="D358" s="24"/>
      <c r="E358" s="24"/>
      <c r="F358" s="24"/>
      <c r="G358" s="24"/>
      <c r="H358" s="48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0" customHeight="1">
      <c r="A359" s="68"/>
      <c r="B359" s="24"/>
      <c r="C359" s="24"/>
      <c r="D359" s="24"/>
      <c r="E359" s="24"/>
      <c r="F359" s="24"/>
      <c r="G359" s="24"/>
      <c r="H359" s="48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0" customHeight="1">
      <c r="A360" s="68"/>
      <c r="B360" s="24"/>
      <c r="C360" s="24"/>
      <c r="D360" s="24"/>
      <c r="E360" s="24"/>
      <c r="F360" s="24"/>
      <c r="G360" s="24"/>
      <c r="H360" s="48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0" customHeight="1">
      <c r="A361" s="68"/>
      <c r="B361" s="24"/>
      <c r="C361" s="24"/>
      <c r="D361" s="24"/>
      <c r="E361" s="24"/>
      <c r="F361" s="24"/>
      <c r="G361" s="24"/>
      <c r="H361" s="48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0" customHeight="1">
      <c r="A362" s="68"/>
      <c r="B362" s="24"/>
      <c r="C362" s="24"/>
      <c r="D362" s="24"/>
      <c r="E362" s="24"/>
      <c r="F362" s="24"/>
      <c r="G362" s="24"/>
      <c r="H362" s="48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0" customHeight="1">
      <c r="A363" s="68"/>
      <c r="B363" s="24"/>
      <c r="C363" s="24"/>
      <c r="D363" s="24"/>
      <c r="E363" s="24"/>
      <c r="F363" s="24"/>
      <c r="G363" s="24"/>
      <c r="H363" s="48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0" customHeight="1">
      <c r="A364" s="68"/>
      <c r="B364" s="24"/>
      <c r="C364" s="24"/>
      <c r="D364" s="24"/>
      <c r="E364" s="24"/>
      <c r="F364" s="24"/>
      <c r="G364" s="24"/>
      <c r="H364" s="48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0" customHeight="1">
      <c r="A365" s="68"/>
      <c r="B365" s="24"/>
      <c r="C365" s="24"/>
      <c r="D365" s="24"/>
      <c r="E365" s="24"/>
      <c r="F365" s="24"/>
      <c r="G365" s="24"/>
      <c r="H365" s="48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0" customHeight="1">
      <c r="A366" s="68"/>
      <c r="B366" s="24"/>
      <c r="C366" s="24"/>
      <c r="D366" s="24"/>
      <c r="E366" s="24"/>
      <c r="F366" s="24"/>
      <c r="G366" s="24"/>
      <c r="H366" s="48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0" customHeight="1">
      <c r="A367" s="68"/>
      <c r="B367" s="24"/>
      <c r="C367" s="24"/>
      <c r="D367" s="24"/>
      <c r="E367" s="24"/>
      <c r="F367" s="24"/>
      <c r="G367" s="24"/>
      <c r="H367" s="48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0" customHeight="1">
      <c r="A368" s="68"/>
      <c r="B368" s="24"/>
      <c r="C368" s="24"/>
      <c r="D368" s="24"/>
      <c r="E368" s="24"/>
      <c r="F368" s="24"/>
      <c r="G368" s="24"/>
      <c r="H368" s="48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0" customHeight="1">
      <c r="A369" s="68"/>
      <c r="B369" s="24"/>
      <c r="C369" s="24"/>
      <c r="D369" s="24"/>
      <c r="E369" s="24"/>
      <c r="F369" s="24"/>
      <c r="G369" s="24"/>
      <c r="H369" s="48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0" customHeight="1">
      <c r="A370" s="68"/>
      <c r="B370" s="24"/>
      <c r="C370" s="24"/>
      <c r="D370" s="24"/>
      <c r="E370" s="24"/>
      <c r="F370" s="24"/>
      <c r="G370" s="24"/>
      <c r="H370" s="48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0" customHeight="1">
      <c r="A371" s="68"/>
      <c r="B371" s="24"/>
      <c r="C371" s="24"/>
      <c r="D371" s="24"/>
      <c r="E371" s="24"/>
      <c r="F371" s="24"/>
      <c r="G371" s="24"/>
      <c r="H371" s="48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0" customHeight="1">
      <c r="A372" s="68"/>
      <c r="B372" s="24"/>
      <c r="C372" s="24"/>
      <c r="D372" s="24"/>
      <c r="E372" s="24"/>
      <c r="F372" s="24"/>
      <c r="G372" s="24"/>
      <c r="H372" s="48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0" customHeight="1">
      <c r="A373" s="68"/>
      <c r="B373" s="24"/>
      <c r="C373" s="24"/>
      <c r="D373" s="24"/>
      <c r="E373" s="24"/>
      <c r="F373" s="24"/>
      <c r="G373" s="24"/>
      <c r="H373" s="48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0" customHeight="1">
      <c r="A374" s="68"/>
      <c r="B374" s="24"/>
      <c r="C374" s="24"/>
      <c r="D374" s="24"/>
      <c r="E374" s="24"/>
      <c r="F374" s="24"/>
      <c r="G374" s="24"/>
      <c r="H374" s="48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0" customHeight="1">
      <c r="A375" s="68"/>
      <c r="B375" s="24"/>
      <c r="C375" s="24"/>
      <c r="D375" s="24"/>
      <c r="E375" s="24"/>
      <c r="F375" s="24"/>
      <c r="G375" s="24"/>
      <c r="H375" s="48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0" customHeight="1">
      <c r="A376" s="68"/>
      <c r="B376" s="24"/>
      <c r="C376" s="24"/>
      <c r="D376" s="24"/>
      <c r="E376" s="24"/>
      <c r="F376" s="24"/>
      <c r="G376" s="24"/>
      <c r="H376" s="48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0" customHeight="1">
      <c r="A377" s="68"/>
      <c r="B377" s="24"/>
      <c r="C377" s="24"/>
      <c r="D377" s="24"/>
      <c r="E377" s="24"/>
      <c r="F377" s="24"/>
      <c r="G377" s="24"/>
      <c r="H377" s="48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0" customHeight="1">
      <c r="A378" s="68"/>
      <c r="B378" s="24"/>
      <c r="C378" s="24"/>
      <c r="D378" s="24"/>
      <c r="E378" s="24"/>
      <c r="F378" s="24"/>
      <c r="G378" s="24"/>
      <c r="H378" s="48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0" customHeight="1">
      <c r="A379" s="68"/>
      <c r="B379" s="24"/>
      <c r="C379" s="24"/>
      <c r="D379" s="24"/>
      <c r="E379" s="24"/>
      <c r="F379" s="24"/>
      <c r="G379" s="24"/>
      <c r="H379" s="48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0" customHeight="1">
      <c r="A380" s="68"/>
      <c r="B380" s="24"/>
      <c r="C380" s="24"/>
      <c r="D380" s="24"/>
      <c r="E380" s="24"/>
      <c r="F380" s="24"/>
      <c r="G380" s="24"/>
      <c r="H380" s="48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0" customHeight="1">
      <c r="A381" s="68"/>
      <c r="B381" s="24"/>
      <c r="C381" s="24"/>
      <c r="D381" s="24"/>
      <c r="E381" s="24"/>
      <c r="F381" s="24"/>
      <c r="G381" s="24"/>
      <c r="H381" s="48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0" customHeight="1">
      <c r="A382" s="68"/>
      <c r="B382" s="24"/>
      <c r="C382" s="24"/>
      <c r="D382" s="24"/>
      <c r="E382" s="24"/>
      <c r="F382" s="24"/>
      <c r="G382" s="24"/>
      <c r="H382" s="48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0" customHeight="1">
      <c r="A383" s="68"/>
      <c r="B383" s="24"/>
      <c r="C383" s="24"/>
      <c r="D383" s="24"/>
      <c r="E383" s="24"/>
      <c r="F383" s="24"/>
      <c r="G383" s="24"/>
      <c r="H383" s="48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0" customHeight="1">
      <c r="A384" s="68"/>
      <c r="B384" s="24"/>
      <c r="C384" s="24"/>
      <c r="D384" s="24"/>
      <c r="E384" s="24"/>
      <c r="F384" s="24"/>
      <c r="G384" s="24"/>
      <c r="H384" s="48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0" customHeight="1">
      <c r="A385" s="68"/>
      <c r="B385" s="24"/>
      <c r="C385" s="24"/>
      <c r="D385" s="24"/>
      <c r="E385" s="24"/>
      <c r="F385" s="24"/>
      <c r="G385" s="24"/>
      <c r="H385" s="48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0" customHeight="1">
      <c r="A386" s="68"/>
      <c r="B386" s="24"/>
      <c r="C386" s="24"/>
      <c r="D386" s="24"/>
      <c r="E386" s="24"/>
      <c r="F386" s="24"/>
      <c r="G386" s="24"/>
      <c r="H386" s="48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0" customHeight="1">
      <c r="A387" s="68"/>
      <c r="B387" s="24"/>
      <c r="C387" s="24"/>
      <c r="D387" s="24"/>
      <c r="E387" s="24"/>
      <c r="F387" s="24"/>
      <c r="G387" s="24"/>
      <c r="H387" s="48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0" customHeight="1">
      <c r="A388" s="68"/>
      <c r="B388" s="24"/>
      <c r="C388" s="24"/>
      <c r="D388" s="24"/>
      <c r="E388" s="24"/>
      <c r="F388" s="24"/>
      <c r="G388" s="24"/>
      <c r="H388" s="48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0" customHeight="1">
      <c r="A389" s="68"/>
      <c r="B389" s="24"/>
      <c r="C389" s="24"/>
      <c r="D389" s="24"/>
      <c r="E389" s="24"/>
      <c r="F389" s="24"/>
      <c r="G389" s="24"/>
      <c r="H389" s="48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0" customHeight="1">
      <c r="A390" s="68"/>
      <c r="B390" s="24"/>
      <c r="C390" s="24"/>
      <c r="D390" s="24"/>
      <c r="E390" s="24"/>
      <c r="F390" s="24"/>
      <c r="G390" s="24"/>
      <c r="H390" s="48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0" customHeight="1">
      <c r="A391" s="68"/>
      <c r="B391" s="24"/>
      <c r="C391" s="24"/>
      <c r="D391" s="24"/>
      <c r="E391" s="24"/>
      <c r="F391" s="24"/>
      <c r="G391" s="24"/>
      <c r="H391" s="48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0" customHeight="1">
      <c r="A392" s="68"/>
      <c r="B392" s="24"/>
      <c r="C392" s="24"/>
      <c r="D392" s="24"/>
      <c r="E392" s="24"/>
      <c r="F392" s="24"/>
      <c r="G392" s="24"/>
      <c r="H392" s="48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0" customHeight="1">
      <c r="A393" s="68"/>
      <c r="B393" s="24"/>
      <c r="C393" s="24"/>
      <c r="D393" s="24"/>
      <c r="E393" s="24"/>
      <c r="F393" s="24"/>
      <c r="G393" s="24"/>
      <c r="H393" s="48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0" customHeight="1">
      <c r="A394" s="68"/>
      <c r="B394" s="24"/>
      <c r="C394" s="24"/>
      <c r="D394" s="24"/>
      <c r="E394" s="24"/>
      <c r="F394" s="24"/>
      <c r="G394" s="24"/>
      <c r="H394" s="48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0" customHeight="1">
      <c r="A395" s="68"/>
      <c r="B395" s="24"/>
      <c r="C395" s="24"/>
      <c r="D395" s="24"/>
      <c r="E395" s="24"/>
      <c r="F395" s="24"/>
      <c r="G395" s="24"/>
      <c r="H395" s="48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0" customHeight="1">
      <c r="A396" s="68"/>
      <c r="B396" s="24"/>
      <c r="C396" s="24"/>
      <c r="D396" s="24"/>
      <c r="E396" s="24"/>
      <c r="F396" s="24"/>
      <c r="G396" s="24"/>
      <c r="H396" s="48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0" customHeight="1">
      <c r="A397" s="68"/>
      <c r="B397" s="24"/>
      <c r="C397" s="24"/>
      <c r="D397" s="24"/>
      <c r="E397" s="24"/>
      <c r="F397" s="24"/>
      <c r="G397" s="24"/>
      <c r="H397" s="48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0" customHeight="1">
      <c r="A398" s="68"/>
      <c r="B398" s="24"/>
      <c r="C398" s="24"/>
      <c r="D398" s="24"/>
      <c r="E398" s="24"/>
      <c r="F398" s="24"/>
      <c r="G398" s="24"/>
      <c r="H398" s="48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0" customHeight="1">
      <c r="A399" s="68"/>
      <c r="B399" s="24"/>
      <c r="C399" s="24"/>
      <c r="D399" s="24"/>
      <c r="E399" s="24"/>
      <c r="F399" s="24"/>
      <c r="G399" s="24"/>
      <c r="H399" s="48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0" customHeight="1">
      <c r="A400" s="68"/>
      <c r="B400" s="24"/>
      <c r="C400" s="24"/>
      <c r="D400" s="24"/>
      <c r="E400" s="24"/>
      <c r="F400" s="24"/>
      <c r="G400" s="24"/>
      <c r="H400" s="48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0" customHeight="1">
      <c r="A401" s="68"/>
      <c r="B401" s="24"/>
      <c r="C401" s="24"/>
      <c r="D401" s="24"/>
      <c r="E401" s="24"/>
      <c r="F401" s="24"/>
      <c r="G401" s="24"/>
      <c r="H401" s="48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0" customHeight="1">
      <c r="A402" s="68"/>
      <c r="B402" s="24"/>
      <c r="C402" s="24"/>
      <c r="D402" s="24"/>
      <c r="E402" s="24"/>
      <c r="F402" s="24"/>
      <c r="G402" s="24"/>
      <c r="H402" s="48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0" customHeight="1">
      <c r="A403" s="68"/>
      <c r="B403" s="24"/>
      <c r="C403" s="24"/>
      <c r="D403" s="24"/>
      <c r="E403" s="24"/>
      <c r="F403" s="24"/>
      <c r="G403" s="24"/>
      <c r="H403" s="48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0" customHeight="1">
      <c r="A404" s="68"/>
      <c r="B404" s="24"/>
      <c r="C404" s="24"/>
      <c r="D404" s="24"/>
      <c r="E404" s="24"/>
      <c r="F404" s="24"/>
      <c r="G404" s="24"/>
      <c r="H404" s="48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0" customHeight="1">
      <c r="A405" s="68"/>
      <c r="B405" s="24"/>
      <c r="C405" s="24"/>
      <c r="D405" s="24"/>
      <c r="E405" s="24"/>
      <c r="F405" s="24"/>
      <c r="G405" s="24"/>
      <c r="H405" s="48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0" customHeight="1">
      <c r="A406" s="68"/>
      <c r="B406" s="24"/>
      <c r="C406" s="24"/>
      <c r="D406" s="24"/>
      <c r="E406" s="24"/>
      <c r="F406" s="24"/>
      <c r="G406" s="24"/>
      <c r="H406" s="48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0" customHeight="1">
      <c r="A407" s="68"/>
      <c r="B407" s="24"/>
      <c r="C407" s="24"/>
      <c r="D407" s="24"/>
      <c r="E407" s="24"/>
      <c r="F407" s="24"/>
      <c r="G407" s="24"/>
      <c r="H407" s="48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0" customHeight="1">
      <c r="A408" s="68"/>
      <c r="B408" s="24"/>
      <c r="C408" s="24"/>
      <c r="D408" s="24"/>
      <c r="E408" s="24"/>
      <c r="F408" s="24"/>
      <c r="G408" s="24"/>
      <c r="H408" s="48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0" customHeight="1">
      <c r="A409" s="68"/>
      <c r="B409" s="24"/>
      <c r="C409" s="24"/>
      <c r="D409" s="24"/>
      <c r="E409" s="24"/>
      <c r="F409" s="24"/>
      <c r="G409" s="24"/>
      <c r="H409" s="48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0" customHeight="1">
      <c r="A410" s="68"/>
      <c r="B410" s="24"/>
      <c r="C410" s="24"/>
      <c r="D410" s="24"/>
      <c r="E410" s="24"/>
      <c r="F410" s="24"/>
      <c r="G410" s="24"/>
      <c r="H410" s="48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0" customHeight="1">
      <c r="A411" s="68"/>
      <c r="B411" s="24"/>
      <c r="C411" s="24"/>
      <c r="D411" s="24"/>
      <c r="E411" s="24"/>
      <c r="F411" s="24"/>
      <c r="G411" s="24"/>
      <c r="H411" s="48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0" customHeight="1">
      <c r="A412" s="68"/>
      <c r="B412" s="24"/>
      <c r="C412" s="24"/>
      <c r="D412" s="24"/>
      <c r="E412" s="24"/>
      <c r="F412" s="24"/>
      <c r="G412" s="24"/>
      <c r="H412" s="48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0" customHeight="1">
      <c r="A413" s="68"/>
      <c r="B413" s="24"/>
      <c r="C413" s="24"/>
      <c r="D413" s="24"/>
      <c r="E413" s="24"/>
      <c r="F413" s="24"/>
      <c r="G413" s="24"/>
      <c r="H413" s="48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0" customHeight="1">
      <c r="A414" s="68"/>
      <c r="B414" s="24"/>
      <c r="C414" s="24"/>
      <c r="D414" s="24"/>
      <c r="E414" s="24"/>
      <c r="F414" s="24"/>
      <c r="G414" s="24"/>
      <c r="H414" s="48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0" customHeight="1">
      <c r="A415" s="68"/>
      <c r="B415" s="24"/>
      <c r="C415" s="24"/>
      <c r="D415" s="24"/>
      <c r="E415" s="24"/>
      <c r="F415" s="24"/>
      <c r="G415" s="24"/>
      <c r="H415" s="48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0" customHeight="1">
      <c r="A416" s="68"/>
      <c r="B416" s="24"/>
      <c r="C416" s="24"/>
      <c r="D416" s="24"/>
      <c r="E416" s="24"/>
      <c r="F416" s="24"/>
      <c r="G416" s="24"/>
      <c r="H416" s="48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0" customHeight="1">
      <c r="A417" s="68"/>
      <c r="B417" s="24"/>
      <c r="C417" s="24"/>
      <c r="D417" s="24"/>
      <c r="E417" s="24"/>
      <c r="F417" s="24"/>
      <c r="G417" s="24"/>
      <c r="H417" s="48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0" customHeight="1">
      <c r="A418" s="68"/>
      <c r="B418" s="24"/>
      <c r="C418" s="24"/>
      <c r="D418" s="24"/>
      <c r="E418" s="24"/>
      <c r="F418" s="24"/>
      <c r="G418" s="24"/>
      <c r="H418" s="48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0" customHeight="1">
      <c r="A419" s="68"/>
      <c r="B419" s="24"/>
      <c r="C419" s="24"/>
      <c r="D419" s="24"/>
      <c r="E419" s="24"/>
      <c r="F419" s="24"/>
      <c r="G419" s="24"/>
      <c r="H419" s="48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0" customHeight="1">
      <c r="A420" s="68"/>
      <c r="B420" s="24"/>
      <c r="C420" s="24"/>
      <c r="D420" s="24"/>
      <c r="E420" s="24"/>
      <c r="F420" s="24"/>
      <c r="G420" s="24"/>
      <c r="H420" s="48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0" customHeight="1">
      <c r="A421" s="68"/>
      <c r="B421" s="24"/>
      <c r="C421" s="24"/>
      <c r="D421" s="24"/>
      <c r="E421" s="24"/>
      <c r="F421" s="24"/>
      <c r="G421" s="24"/>
      <c r="H421" s="48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0" customHeight="1">
      <c r="A422" s="68"/>
      <c r="B422" s="24"/>
      <c r="C422" s="24"/>
      <c r="D422" s="24"/>
      <c r="E422" s="24"/>
      <c r="F422" s="24"/>
      <c r="G422" s="24"/>
      <c r="H422" s="48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0" customHeight="1">
      <c r="A423" s="68"/>
      <c r="B423" s="24"/>
      <c r="C423" s="24"/>
      <c r="D423" s="24"/>
      <c r="E423" s="24"/>
      <c r="F423" s="24"/>
      <c r="G423" s="24"/>
      <c r="H423" s="48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0" customHeight="1">
      <c r="A424" s="68"/>
      <c r="B424" s="24"/>
      <c r="C424" s="24"/>
      <c r="D424" s="24"/>
      <c r="E424" s="24"/>
      <c r="F424" s="24"/>
      <c r="G424" s="24"/>
      <c r="H424" s="48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0" customHeight="1">
      <c r="A425" s="68"/>
      <c r="B425" s="24"/>
      <c r="C425" s="24"/>
      <c r="D425" s="24"/>
      <c r="E425" s="24"/>
      <c r="F425" s="24"/>
      <c r="G425" s="24"/>
      <c r="H425" s="48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0" customHeight="1">
      <c r="A426" s="68"/>
      <c r="B426" s="24"/>
      <c r="C426" s="24"/>
      <c r="D426" s="24"/>
      <c r="E426" s="24"/>
      <c r="F426" s="24"/>
      <c r="G426" s="24"/>
      <c r="H426" s="48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0" customHeight="1">
      <c r="A427" s="68"/>
      <c r="B427" s="24"/>
      <c r="C427" s="24"/>
      <c r="D427" s="24"/>
      <c r="E427" s="24"/>
      <c r="F427" s="24"/>
      <c r="G427" s="24"/>
      <c r="H427" s="48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0" customHeight="1">
      <c r="A428" s="68"/>
      <c r="B428" s="24"/>
      <c r="C428" s="24"/>
      <c r="D428" s="24"/>
      <c r="E428" s="24"/>
      <c r="F428" s="24"/>
      <c r="G428" s="24"/>
      <c r="H428" s="48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0" customHeight="1">
      <c r="A429" s="68"/>
      <c r="B429" s="24"/>
      <c r="C429" s="24"/>
      <c r="D429" s="24"/>
      <c r="E429" s="24"/>
      <c r="F429" s="24"/>
      <c r="G429" s="24"/>
      <c r="H429" s="48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0" customHeight="1">
      <c r="A430" s="68"/>
      <c r="B430" s="24"/>
      <c r="C430" s="24"/>
      <c r="D430" s="24"/>
      <c r="E430" s="24"/>
      <c r="F430" s="24"/>
      <c r="G430" s="24"/>
      <c r="H430" s="48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0" customHeight="1">
      <c r="A431" s="68"/>
      <c r="B431" s="24"/>
      <c r="C431" s="24"/>
      <c r="D431" s="24"/>
      <c r="E431" s="24"/>
      <c r="F431" s="24"/>
      <c r="G431" s="24"/>
      <c r="H431" s="48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0" customHeight="1">
      <c r="A432" s="68"/>
      <c r="B432" s="24"/>
      <c r="C432" s="24"/>
      <c r="D432" s="24"/>
      <c r="E432" s="24"/>
      <c r="F432" s="24"/>
      <c r="G432" s="24"/>
      <c r="H432" s="48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0" customHeight="1">
      <c r="A433" s="68"/>
      <c r="B433" s="24"/>
      <c r="C433" s="24"/>
      <c r="D433" s="24"/>
      <c r="E433" s="24"/>
      <c r="F433" s="24"/>
      <c r="G433" s="24"/>
      <c r="H433" s="48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0" customHeight="1">
      <c r="A434" s="68"/>
      <c r="B434" s="24"/>
      <c r="C434" s="24"/>
      <c r="D434" s="24"/>
      <c r="E434" s="24"/>
      <c r="F434" s="24"/>
      <c r="G434" s="24"/>
      <c r="H434" s="48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0" customHeight="1">
      <c r="A435" s="68"/>
      <c r="B435" s="24"/>
      <c r="C435" s="24"/>
      <c r="D435" s="24"/>
      <c r="E435" s="24"/>
      <c r="F435" s="24"/>
      <c r="G435" s="24"/>
      <c r="H435" s="48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0" customHeight="1">
      <c r="A436" s="68"/>
      <c r="B436" s="24"/>
      <c r="C436" s="24"/>
      <c r="D436" s="24"/>
      <c r="E436" s="24"/>
      <c r="F436" s="24"/>
      <c r="G436" s="24"/>
      <c r="H436" s="48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0" customHeight="1">
      <c r="A437" s="68"/>
      <c r="B437" s="24"/>
      <c r="C437" s="24"/>
      <c r="D437" s="24"/>
      <c r="E437" s="24"/>
      <c r="F437" s="24"/>
      <c r="G437" s="24"/>
      <c r="H437" s="48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0" customHeight="1">
      <c r="A438" s="68"/>
      <c r="B438" s="24"/>
      <c r="C438" s="24"/>
      <c r="D438" s="24"/>
      <c r="E438" s="24"/>
      <c r="F438" s="24"/>
      <c r="G438" s="24"/>
      <c r="H438" s="48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0" customHeight="1">
      <c r="A439" s="68"/>
      <c r="B439" s="24"/>
      <c r="C439" s="24"/>
      <c r="D439" s="24"/>
      <c r="E439" s="24"/>
      <c r="F439" s="24"/>
      <c r="G439" s="24"/>
      <c r="H439" s="48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0" customHeight="1">
      <c r="A440" s="68"/>
      <c r="B440" s="24"/>
      <c r="C440" s="24"/>
      <c r="D440" s="24"/>
      <c r="E440" s="24"/>
      <c r="F440" s="24"/>
      <c r="G440" s="24"/>
      <c r="H440" s="48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0" customHeight="1">
      <c r="A441" s="68"/>
      <c r="B441" s="24"/>
      <c r="C441" s="24"/>
      <c r="D441" s="24"/>
      <c r="E441" s="24"/>
      <c r="F441" s="24"/>
      <c r="G441" s="24"/>
      <c r="H441" s="48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0" customHeight="1">
      <c r="A442" s="68"/>
      <c r="B442" s="24"/>
      <c r="C442" s="24"/>
      <c r="D442" s="24"/>
      <c r="E442" s="24"/>
      <c r="F442" s="24"/>
      <c r="G442" s="24"/>
      <c r="H442" s="48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0" customHeight="1">
      <c r="A443" s="68"/>
      <c r="B443" s="24"/>
      <c r="C443" s="24"/>
      <c r="D443" s="24"/>
      <c r="E443" s="24"/>
      <c r="F443" s="24"/>
      <c r="G443" s="24"/>
      <c r="H443" s="48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0" customHeight="1">
      <c r="A444" s="68"/>
      <c r="B444" s="24"/>
      <c r="C444" s="24"/>
      <c r="D444" s="24"/>
      <c r="E444" s="24"/>
      <c r="F444" s="24"/>
      <c r="G444" s="24"/>
      <c r="H444" s="48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0" customHeight="1">
      <c r="A445" s="68"/>
      <c r="B445" s="24"/>
      <c r="C445" s="24"/>
      <c r="D445" s="24"/>
      <c r="E445" s="24"/>
      <c r="F445" s="24"/>
      <c r="G445" s="24"/>
      <c r="H445" s="48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0" customHeight="1">
      <c r="A446" s="68"/>
      <c r="B446" s="24"/>
      <c r="C446" s="24"/>
      <c r="D446" s="24"/>
      <c r="E446" s="24"/>
      <c r="F446" s="24"/>
      <c r="G446" s="24"/>
      <c r="H446" s="48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0" customHeight="1">
      <c r="A447" s="68"/>
      <c r="B447" s="24"/>
      <c r="C447" s="24"/>
      <c r="D447" s="24"/>
      <c r="E447" s="24"/>
      <c r="F447" s="24"/>
      <c r="G447" s="24"/>
      <c r="H447" s="48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0" customHeight="1">
      <c r="A448" s="68"/>
      <c r="B448" s="24"/>
      <c r="C448" s="24"/>
      <c r="D448" s="24"/>
      <c r="E448" s="24"/>
      <c r="F448" s="24"/>
      <c r="G448" s="24"/>
      <c r="H448" s="48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0" customHeight="1">
      <c r="A449" s="68"/>
      <c r="B449" s="24"/>
      <c r="C449" s="24"/>
      <c r="D449" s="24"/>
      <c r="E449" s="24"/>
      <c r="F449" s="24"/>
      <c r="G449" s="24"/>
      <c r="H449" s="48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0" customHeight="1">
      <c r="A450" s="68"/>
      <c r="B450" s="24"/>
      <c r="C450" s="24"/>
      <c r="D450" s="24"/>
      <c r="E450" s="24"/>
      <c r="F450" s="24"/>
      <c r="G450" s="24"/>
      <c r="H450" s="48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0" customHeight="1">
      <c r="A451" s="68"/>
      <c r="B451" s="24"/>
      <c r="C451" s="24"/>
      <c r="D451" s="24"/>
      <c r="E451" s="24"/>
      <c r="F451" s="24"/>
      <c r="G451" s="24"/>
      <c r="H451" s="48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0" customHeight="1">
      <c r="A452" s="68"/>
      <c r="B452" s="24"/>
      <c r="C452" s="24"/>
      <c r="D452" s="24"/>
      <c r="E452" s="24"/>
      <c r="F452" s="24"/>
      <c r="G452" s="24"/>
      <c r="H452" s="48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0" customHeight="1">
      <c r="A453" s="68"/>
      <c r="B453" s="24"/>
      <c r="C453" s="24"/>
      <c r="D453" s="24"/>
      <c r="E453" s="24"/>
      <c r="F453" s="24"/>
      <c r="G453" s="24"/>
      <c r="H453" s="48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0" customHeight="1">
      <c r="A454" s="68"/>
      <c r="B454" s="24"/>
      <c r="C454" s="24"/>
      <c r="D454" s="24"/>
      <c r="E454" s="24"/>
      <c r="F454" s="24"/>
      <c r="G454" s="24"/>
      <c r="H454" s="48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0" customHeight="1">
      <c r="A455" s="68"/>
      <c r="B455" s="24"/>
      <c r="C455" s="24"/>
      <c r="D455" s="24"/>
      <c r="E455" s="24"/>
      <c r="F455" s="24"/>
      <c r="G455" s="24"/>
      <c r="H455" s="48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0" customHeight="1">
      <c r="A456" s="68"/>
      <c r="B456" s="24"/>
      <c r="C456" s="24"/>
      <c r="D456" s="24"/>
      <c r="E456" s="24"/>
      <c r="F456" s="24"/>
      <c r="G456" s="24"/>
      <c r="H456" s="48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0" customHeight="1">
      <c r="A457" s="68"/>
      <c r="B457" s="24"/>
      <c r="C457" s="24"/>
      <c r="D457" s="24"/>
      <c r="E457" s="24"/>
      <c r="F457" s="24"/>
      <c r="G457" s="24"/>
      <c r="H457" s="48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0" customHeight="1">
      <c r="A458" s="68"/>
      <c r="B458" s="24"/>
      <c r="C458" s="24"/>
      <c r="D458" s="24"/>
      <c r="E458" s="24"/>
      <c r="F458" s="24"/>
      <c r="G458" s="24"/>
      <c r="H458" s="48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0" customHeight="1">
      <c r="A459" s="68"/>
      <c r="B459" s="24"/>
      <c r="C459" s="24"/>
      <c r="D459" s="24"/>
      <c r="E459" s="24"/>
      <c r="F459" s="24"/>
      <c r="G459" s="24"/>
      <c r="H459" s="48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0" customHeight="1">
      <c r="A460" s="68"/>
      <c r="B460" s="24"/>
      <c r="C460" s="24"/>
      <c r="D460" s="24"/>
      <c r="E460" s="24"/>
      <c r="F460" s="24"/>
      <c r="G460" s="24"/>
      <c r="H460" s="48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0" customHeight="1">
      <c r="A461" s="68"/>
      <c r="B461" s="24"/>
      <c r="C461" s="24"/>
      <c r="D461" s="24"/>
      <c r="E461" s="24"/>
      <c r="F461" s="24"/>
      <c r="G461" s="24"/>
      <c r="H461" s="48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0" customHeight="1">
      <c r="A462" s="68"/>
      <c r="B462" s="24"/>
      <c r="C462" s="24"/>
      <c r="D462" s="24"/>
      <c r="E462" s="24"/>
      <c r="F462" s="24"/>
      <c r="G462" s="24"/>
      <c r="H462" s="48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0" customHeight="1">
      <c r="A463" s="68"/>
      <c r="B463" s="24"/>
      <c r="C463" s="24"/>
      <c r="D463" s="24"/>
      <c r="E463" s="24"/>
      <c r="F463" s="24"/>
      <c r="G463" s="24"/>
      <c r="H463" s="48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0" customHeight="1">
      <c r="A464" s="68"/>
      <c r="B464" s="24"/>
      <c r="C464" s="24"/>
      <c r="D464" s="24"/>
      <c r="E464" s="24"/>
      <c r="F464" s="24"/>
      <c r="G464" s="24"/>
      <c r="H464" s="48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0" customHeight="1">
      <c r="A465" s="68"/>
      <c r="B465" s="24"/>
      <c r="C465" s="24"/>
      <c r="D465" s="24"/>
      <c r="E465" s="24"/>
      <c r="F465" s="24"/>
      <c r="G465" s="24"/>
      <c r="H465" s="48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0" customHeight="1">
      <c r="A466" s="68"/>
      <c r="B466" s="24"/>
      <c r="C466" s="24"/>
      <c r="D466" s="24"/>
      <c r="E466" s="24"/>
      <c r="F466" s="24"/>
      <c r="G466" s="24"/>
      <c r="H466" s="48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0" customHeight="1">
      <c r="A467" s="68"/>
      <c r="B467" s="24"/>
      <c r="C467" s="24"/>
      <c r="D467" s="24"/>
      <c r="E467" s="24"/>
      <c r="F467" s="24"/>
      <c r="G467" s="24"/>
      <c r="H467" s="48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0" customHeight="1">
      <c r="A468" s="68"/>
      <c r="B468" s="24"/>
      <c r="C468" s="24"/>
      <c r="D468" s="24"/>
      <c r="E468" s="24"/>
      <c r="F468" s="24"/>
      <c r="G468" s="24"/>
      <c r="H468" s="48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0" customHeight="1">
      <c r="A469" s="68"/>
      <c r="B469" s="24"/>
      <c r="C469" s="24"/>
      <c r="D469" s="24"/>
      <c r="E469" s="24"/>
      <c r="F469" s="24"/>
      <c r="G469" s="24"/>
      <c r="H469" s="48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0" customHeight="1">
      <c r="A470" s="68"/>
      <c r="B470" s="24"/>
      <c r="C470" s="24"/>
      <c r="D470" s="24"/>
      <c r="E470" s="24"/>
      <c r="F470" s="24"/>
      <c r="G470" s="24"/>
      <c r="H470" s="48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0" customHeight="1">
      <c r="A471" s="68"/>
      <c r="B471" s="24"/>
      <c r="C471" s="24"/>
      <c r="D471" s="24"/>
      <c r="E471" s="24"/>
      <c r="F471" s="24"/>
      <c r="G471" s="24"/>
      <c r="H471" s="48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0" customHeight="1">
      <c r="A472" s="68"/>
      <c r="B472" s="24"/>
      <c r="C472" s="24"/>
      <c r="D472" s="24"/>
      <c r="E472" s="24"/>
      <c r="F472" s="24"/>
      <c r="G472" s="24"/>
      <c r="H472" s="48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0" customHeight="1">
      <c r="A473" s="68"/>
      <c r="B473" s="24"/>
      <c r="C473" s="24"/>
      <c r="D473" s="24"/>
      <c r="E473" s="24"/>
      <c r="F473" s="24"/>
      <c r="G473" s="24"/>
      <c r="H473" s="48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0" customHeight="1">
      <c r="A474" s="68"/>
      <c r="B474" s="24"/>
      <c r="C474" s="24"/>
      <c r="D474" s="24"/>
      <c r="E474" s="24"/>
      <c r="F474" s="24"/>
      <c r="G474" s="24"/>
      <c r="H474" s="48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0" customHeight="1">
      <c r="A475" s="68"/>
      <c r="B475" s="24"/>
      <c r="C475" s="24"/>
      <c r="D475" s="24"/>
      <c r="E475" s="24"/>
      <c r="F475" s="24"/>
      <c r="G475" s="24"/>
      <c r="H475" s="48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0" customHeight="1">
      <c r="A476" s="68"/>
      <c r="B476" s="24"/>
      <c r="C476" s="24"/>
      <c r="D476" s="24"/>
      <c r="E476" s="24"/>
      <c r="F476" s="24"/>
      <c r="G476" s="24"/>
      <c r="H476" s="48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0" customHeight="1">
      <c r="A477" s="68"/>
      <c r="B477" s="24"/>
      <c r="C477" s="24"/>
      <c r="D477" s="24"/>
      <c r="E477" s="24"/>
      <c r="F477" s="24"/>
      <c r="G477" s="24"/>
      <c r="H477" s="48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0" customHeight="1">
      <c r="A478" s="68"/>
      <c r="B478" s="24"/>
      <c r="C478" s="24"/>
      <c r="D478" s="24"/>
      <c r="E478" s="24"/>
      <c r="F478" s="24"/>
      <c r="G478" s="24"/>
      <c r="H478" s="48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0" customHeight="1">
      <c r="A479" s="68"/>
      <c r="B479" s="24"/>
      <c r="C479" s="24"/>
      <c r="D479" s="24"/>
      <c r="E479" s="24"/>
      <c r="F479" s="24"/>
      <c r="G479" s="24"/>
      <c r="H479" s="48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0" customHeight="1">
      <c r="A480" s="68"/>
      <c r="B480" s="24"/>
      <c r="C480" s="24"/>
      <c r="D480" s="24"/>
      <c r="E480" s="24"/>
      <c r="F480" s="24"/>
      <c r="G480" s="24"/>
      <c r="H480" s="48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0" customHeight="1">
      <c r="A481" s="68"/>
      <c r="B481" s="24"/>
      <c r="C481" s="24"/>
      <c r="D481" s="24"/>
      <c r="E481" s="24"/>
      <c r="F481" s="24"/>
      <c r="G481" s="24"/>
      <c r="H481" s="48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0" customHeight="1">
      <c r="A482" s="68"/>
      <c r="B482" s="24"/>
      <c r="C482" s="24"/>
      <c r="D482" s="24"/>
      <c r="E482" s="24"/>
      <c r="F482" s="24"/>
      <c r="G482" s="24"/>
      <c r="H482" s="48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0" customHeight="1">
      <c r="A483" s="68"/>
      <c r="B483" s="24"/>
      <c r="C483" s="24"/>
      <c r="D483" s="24"/>
      <c r="E483" s="24"/>
      <c r="F483" s="24"/>
      <c r="G483" s="24"/>
      <c r="H483" s="48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0" customHeight="1">
      <c r="A484" s="68"/>
      <c r="B484" s="24"/>
      <c r="C484" s="24"/>
      <c r="D484" s="24"/>
      <c r="E484" s="24"/>
      <c r="F484" s="24"/>
      <c r="G484" s="24"/>
      <c r="H484" s="48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0" customHeight="1">
      <c r="A485" s="68"/>
      <c r="B485" s="24"/>
      <c r="C485" s="24"/>
      <c r="D485" s="24"/>
      <c r="E485" s="24"/>
      <c r="F485" s="24"/>
      <c r="G485" s="24"/>
      <c r="H485" s="48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0" customHeight="1">
      <c r="A486" s="68"/>
      <c r="B486" s="24"/>
      <c r="C486" s="24"/>
      <c r="D486" s="24"/>
      <c r="E486" s="24"/>
      <c r="F486" s="24"/>
      <c r="G486" s="24"/>
      <c r="H486" s="48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0" customHeight="1">
      <c r="A487" s="68"/>
      <c r="B487" s="24"/>
      <c r="C487" s="24"/>
      <c r="D487" s="24"/>
      <c r="E487" s="24"/>
      <c r="F487" s="24"/>
      <c r="G487" s="24"/>
      <c r="H487" s="48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0" customHeight="1">
      <c r="A488" s="68"/>
      <c r="B488" s="24"/>
      <c r="C488" s="24"/>
      <c r="D488" s="24"/>
      <c r="E488" s="24"/>
      <c r="F488" s="24"/>
      <c r="G488" s="24"/>
      <c r="H488" s="48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0" customHeight="1">
      <c r="A489" s="68"/>
      <c r="B489" s="24"/>
      <c r="C489" s="24"/>
      <c r="D489" s="24"/>
      <c r="E489" s="24"/>
      <c r="F489" s="24"/>
      <c r="G489" s="24"/>
      <c r="H489" s="48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0" customHeight="1">
      <c r="A490" s="68"/>
      <c r="B490" s="24"/>
      <c r="C490" s="24"/>
      <c r="D490" s="24"/>
      <c r="E490" s="24"/>
      <c r="F490" s="24"/>
      <c r="G490" s="24"/>
      <c r="H490" s="48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0" customHeight="1">
      <c r="A491" s="68"/>
      <c r="B491" s="24"/>
      <c r="C491" s="24"/>
      <c r="D491" s="24"/>
      <c r="E491" s="24"/>
      <c r="F491" s="24"/>
      <c r="G491" s="24"/>
      <c r="H491" s="48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0" customHeight="1">
      <c r="A492" s="68"/>
      <c r="B492" s="24"/>
      <c r="C492" s="24"/>
      <c r="D492" s="24"/>
      <c r="E492" s="24"/>
      <c r="F492" s="24"/>
      <c r="G492" s="24"/>
      <c r="H492" s="48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0" customHeight="1">
      <c r="A493" s="68"/>
      <c r="B493" s="24"/>
      <c r="C493" s="24"/>
      <c r="D493" s="24"/>
      <c r="E493" s="24"/>
      <c r="F493" s="24"/>
      <c r="G493" s="24"/>
      <c r="H493" s="48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0" customHeight="1">
      <c r="A494" s="68"/>
      <c r="B494" s="24"/>
      <c r="C494" s="24"/>
      <c r="D494" s="24"/>
      <c r="E494" s="24"/>
      <c r="F494" s="24"/>
      <c r="G494" s="24"/>
      <c r="H494" s="48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0" customHeight="1">
      <c r="A495" s="68"/>
      <c r="B495" s="24"/>
      <c r="C495" s="24"/>
      <c r="D495" s="24"/>
      <c r="E495" s="24"/>
      <c r="F495" s="24"/>
      <c r="G495" s="24"/>
      <c r="H495" s="48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0" customHeight="1">
      <c r="A496" s="68"/>
      <c r="B496" s="24"/>
      <c r="C496" s="24"/>
      <c r="D496" s="24"/>
      <c r="E496" s="24"/>
      <c r="F496" s="24"/>
      <c r="G496" s="24"/>
      <c r="H496" s="48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0" customHeight="1">
      <c r="A497" s="68"/>
      <c r="B497" s="24"/>
      <c r="C497" s="24"/>
      <c r="D497" s="24"/>
      <c r="E497" s="24"/>
      <c r="F497" s="24"/>
      <c r="G497" s="24"/>
      <c r="H497" s="48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0" customHeight="1">
      <c r="A498" s="68"/>
      <c r="B498" s="24"/>
      <c r="C498" s="24"/>
      <c r="D498" s="24"/>
      <c r="E498" s="24"/>
      <c r="F498" s="24"/>
      <c r="G498" s="24"/>
      <c r="H498" s="48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0" customHeight="1">
      <c r="A499" s="68"/>
      <c r="B499" s="24"/>
      <c r="C499" s="24"/>
      <c r="D499" s="24"/>
      <c r="E499" s="24"/>
      <c r="F499" s="24"/>
      <c r="G499" s="24"/>
      <c r="H499" s="48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0" customHeight="1">
      <c r="A500" s="68"/>
      <c r="B500" s="24"/>
      <c r="C500" s="24"/>
      <c r="D500" s="24"/>
      <c r="E500" s="24"/>
      <c r="F500" s="24"/>
      <c r="G500" s="24"/>
      <c r="H500" s="48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0" customHeight="1">
      <c r="A501" s="68"/>
      <c r="B501" s="24"/>
      <c r="C501" s="24"/>
      <c r="D501" s="24"/>
      <c r="E501" s="24"/>
      <c r="F501" s="24"/>
      <c r="G501" s="24"/>
      <c r="H501" s="48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0" customHeight="1">
      <c r="A502" s="68"/>
      <c r="B502" s="24"/>
      <c r="C502" s="24"/>
      <c r="D502" s="24"/>
      <c r="E502" s="24"/>
      <c r="F502" s="24"/>
      <c r="G502" s="24"/>
      <c r="H502" s="48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0" customHeight="1">
      <c r="A503" s="68"/>
      <c r="B503" s="24"/>
      <c r="C503" s="24"/>
      <c r="D503" s="24"/>
      <c r="E503" s="24"/>
      <c r="F503" s="24"/>
      <c r="G503" s="24"/>
      <c r="H503" s="48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0" customHeight="1">
      <c r="A504" s="68"/>
      <c r="B504" s="24"/>
      <c r="C504" s="24"/>
      <c r="D504" s="24"/>
      <c r="E504" s="24"/>
      <c r="F504" s="24"/>
      <c r="G504" s="24"/>
      <c r="H504" s="48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0" customHeight="1">
      <c r="A505" s="68"/>
      <c r="B505" s="24"/>
      <c r="C505" s="24"/>
      <c r="D505" s="24"/>
      <c r="E505" s="24"/>
      <c r="F505" s="24"/>
      <c r="G505" s="24"/>
      <c r="H505" s="48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0" customHeight="1">
      <c r="A506" s="68"/>
      <c r="B506" s="24"/>
      <c r="C506" s="24"/>
      <c r="D506" s="24"/>
      <c r="E506" s="24"/>
      <c r="F506" s="24"/>
      <c r="G506" s="24"/>
      <c r="H506" s="48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0" customHeight="1">
      <c r="A507" s="68"/>
      <c r="B507" s="24"/>
      <c r="C507" s="24"/>
      <c r="D507" s="24"/>
      <c r="E507" s="24"/>
      <c r="F507" s="24"/>
      <c r="G507" s="24"/>
      <c r="H507" s="48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0" customHeight="1">
      <c r="A508" s="68"/>
      <c r="B508" s="24"/>
      <c r="C508" s="24"/>
      <c r="D508" s="24"/>
      <c r="E508" s="24"/>
      <c r="F508" s="24"/>
      <c r="G508" s="24"/>
      <c r="H508" s="48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0" customHeight="1">
      <c r="A509" s="68"/>
      <c r="B509" s="24"/>
      <c r="C509" s="24"/>
      <c r="D509" s="24"/>
      <c r="E509" s="24"/>
      <c r="F509" s="24"/>
      <c r="G509" s="24"/>
      <c r="H509" s="48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0" customHeight="1">
      <c r="A510" s="68"/>
      <c r="B510" s="24"/>
      <c r="C510" s="24"/>
      <c r="D510" s="24"/>
      <c r="E510" s="24"/>
      <c r="F510" s="24"/>
      <c r="G510" s="24"/>
      <c r="H510" s="48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0" customHeight="1">
      <c r="A511" s="68"/>
      <c r="B511" s="24"/>
      <c r="C511" s="24"/>
      <c r="D511" s="24"/>
      <c r="E511" s="24"/>
      <c r="F511" s="24"/>
      <c r="G511" s="24"/>
      <c r="H511" s="48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0" customHeight="1">
      <c r="A512" s="68"/>
      <c r="B512" s="24"/>
      <c r="C512" s="24"/>
      <c r="D512" s="24"/>
      <c r="E512" s="24"/>
      <c r="F512" s="24"/>
      <c r="G512" s="24"/>
      <c r="H512" s="48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0" customHeight="1">
      <c r="A513" s="68"/>
      <c r="B513" s="24"/>
      <c r="C513" s="24"/>
      <c r="D513" s="24"/>
      <c r="E513" s="24"/>
      <c r="F513" s="24"/>
      <c r="G513" s="24"/>
      <c r="H513" s="48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0" customHeight="1">
      <c r="A514" s="68"/>
      <c r="B514" s="24"/>
      <c r="C514" s="24"/>
      <c r="D514" s="24"/>
      <c r="E514" s="24"/>
      <c r="F514" s="24"/>
      <c r="G514" s="24"/>
      <c r="H514" s="48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0" customHeight="1">
      <c r="A515" s="68"/>
      <c r="B515" s="24"/>
      <c r="C515" s="24"/>
      <c r="D515" s="24"/>
      <c r="E515" s="24"/>
      <c r="F515" s="24"/>
      <c r="G515" s="24"/>
      <c r="H515" s="48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0" customHeight="1">
      <c r="A516" s="68"/>
      <c r="B516" s="24"/>
      <c r="C516" s="24"/>
      <c r="D516" s="24"/>
      <c r="E516" s="24"/>
      <c r="F516" s="24"/>
      <c r="G516" s="24"/>
      <c r="H516" s="48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0" customHeight="1">
      <c r="A517" s="68"/>
      <c r="B517" s="24"/>
      <c r="C517" s="24"/>
      <c r="D517" s="24"/>
      <c r="E517" s="24"/>
      <c r="F517" s="24"/>
      <c r="G517" s="24"/>
      <c r="H517" s="48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0" customHeight="1">
      <c r="A518" s="68"/>
      <c r="B518" s="24"/>
      <c r="C518" s="24"/>
      <c r="D518" s="24"/>
      <c r="E518" s="24"/>
      <c r="F518" s="24"/>
      <c r="G518" s="24"/>
      <c r="H518" s="48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0" customHeight="1">
      <c r="A519" s="68"/>
      <c r="B519" s="24"/>
      <c r="C519" s="24"/>
      <c r="D519" s="24"/>
      <c r="E519" s="24"/>
      <c r="F519" s="24"/>
      <c r="G519" s="24"/>
      <c r="H519" s="48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0" customHeight="1">
      <c r="A520" s="68"/>
      <c r="B520" s="24"/>
      <c r="C520" s="24"/>
      <c r="D520" s="24"/>
      <c r="E520" s="24"/>
      <c r="F520" s="24"/>
      <c r="G520" s="24"/>
      <c r="H520" s="48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0" customHeight="1">
      <c r="A521" s="68"/>
      <c r="B521" s="24"/>
      <c r="C521" s="24"/>
      <c r="D521" s="24"/>
      <c r="E521" s="24"/>
      <c r="F521" s="24"/>
      <c r="G521" s="24"/>
      <c r="H521" s="48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0" customHeight="1">
      <c r="A522" s="68"/>
      <c r="B522" s="24"/>
      <c r="C522" s="24"/>
      <c r="D522" s="24"/>
      <c r="E522" s="24"/>
      <c r="F522" s="24"/>
      <c r="G522" s="24"/>
      <c r="H522" s="48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0" customHeight="1">
      <c r="A523" s="68"/>
      <c r="B523" s="24"/>
      <c r="C523" s="24"/>
      <c r="D523" s="24"/>
      <c r="E523" s="24"/>
      <c r="F523" s="24"/>
      <c r="G523" s="24"/>
      <c r="H523" s="48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0" customHeight="1">
      <c r="A524" s="68"/>
      <c r="B524" s="24"/>
      <c r="C524" s="24"/>
      <c r="D524" s="24"/>
      <c r="E524" s="24"/>
      <c r="F524" s="24"/>
      <c r="G524" s="24"/>
      <c r="H524" s="48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0" customHeight="1">
      <c r="A525" s="68"/>
      <c r="B525" s="24"/>
      <c r="C525" s="24"/>
      <c r="D525" s="24"/>
      <c r="E525" s="24"/>
      <c r="F525" s="24"/>
      <c r="G525" s="24"/>
      <c r="H525" s="48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0" customHeight="1">
      <c r="A526" s="68"/>
      <c r="B526" s="24"/>
      <c r="C526" s="24"/>
      <c r="D526" s="24"/>
      <c r="E526" s="24"/>
      <c r="F526" s="24"/>
      <c r="G526" s="24"/>
      <c r="H526" s="48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0" customHeight="1">
      <c r="A527" s="68"/>
      <c r="B527" s="24"/>
      <c r="C527" s="24"/>
      <c r="D527" s="24"/>
      <c r="E527" s="24"/>
      <c r="F527" s="24"/>
      <c r="G527" s="24"/>
      <c r="H527" s="48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0" customHeight="1">
      <c r="A528" s="68"/>
      <c r="B528" s="24"/>
      <c r="C528" s="24"/>
      <c r="D528" s="24"/>
      <c r="E528" s="24"/>
      <c r="F528" s="24"/>
      <c r="G528" s="24"/>
      <c r="H528" s="48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0" customHeight="1">
      <c r="A529" s="68"/>
      <c r="B529" s="24"/>
      <c r="C529" s="24"/>
      <c r="D529" s="24"/>
      <c r="E529" s="24"/>
      <c r="F529" s="24"/>
      <c r="G529" s="24"/>
      <c r="H529" s="48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0" customHeight="1">
      <c r="A530" s="68"/>
      <c r="B530" s="24"/>
      <c r="C530" s="24"/>
      <c r="D530" s="24"/>
      <c r="E530" s="24"/>
      <c r="F530" s="24"/>
      <c r="G530" s="24"/>
      <c r="H530" s="48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0" customHeight="1">
      <c r="A531" s="68"/>
      <c r="B531" s="24"/>
      <c r="C531" s="24"/>
      <c r="D531" s="24"/>
      <c r="E531" s="24"/>
      <c r="F531" s="24"/>
      <c r="G531" s="24"/>
      <c r="H531" s="48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0" customHeight="1">
      <c r="A532" s="68"/>
      <c r="B532" s="24"/>
      <c r="C532" s="24"/>
      <c r="D532" s="24"/>
      <c r="E532" s="24"/>
      <c r="F532" s="24"/>
      <c r="G532" s="24"/>
      <c r="H532" s="48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0" customHeight="1">
      <c r="A533" s="68"/>
      <c r="B533" s="24"/>
      <c r="C533" s="24"/>
      <c r="D533" s="24"/>
      <c r="E533" s="24"/>
      <c r="F533" s="24"/>
      <c r="G533" s="24"/>
      <c r="H533" s="48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0" customHeight="1">
      <c r="A534" s="68"/>
      <c r="B534" s="24"/>
      <c r="C534" s="24"/>
      <c r="D534" s="24"/>
      <c r="E534" s="24"/>
      <c r="F534" s="24"/>
      <c r="G534" s="24"/>
      <c r="H534" s="48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0" customHeight="1">
      <c r="A535" s="68"/>
      <c r="B535" s="24"/>
      <c r="C535" s="24"/>
      <c r="D535" s="24"/>
      <c r="E535" s="24"/>
      <c r="F535" s="24"/>
      <c r="G535" s="24"/>
      <c r="H535" s="48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0" customHeight="1">
      <c r="A536" s="68"/>
      <c r="B536" s="24"/>
      <c r="C536" s="24"/>
      <c r="D536" s="24"/>
      <c r="E536" s="24"/>
      <c r="F536" s="24"/>
      <c r="G536" s="24"/>
      <c r="H536" s="48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0" customHeight="1">
      <c r="A537" s="68"/>
      <c r="B537" s="24"/>
      <c r="C537" s="24"/>
      <c r="D537" s="24"/>
      <c r="E537" s="24"/>
      <c r="F537" s="24"/>
      <c r="G537" s="24"/>
      <c r="H537" s="48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0" customHeight="1">
      <c r="A538" s="68"/>
      <c r="B538" s="24"/>
      <c r="C538" s="24"/>
      <c r="D538" s="24"/>
      <c r="E538" s="24"/>
      <c r="F538" s="24"/>
      <c r="G538" s="24"/>
      <c r="H538" s="48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0" customHeight="1">
      <c r="A539" s="68"/>
      <c r="B539" s="24"/>
      <c r="C539" s="24"/>
      <c r="D539" s="24"/>
      <c r="E539" s="24"/>
      <c r="F539" s="24"/>
      <c r="G539" s="24"/>
      <c r="H539" s="48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0" customHeight="1">
      <c r="A540" s="68"/>
      <c r="B540" s="24"/>
      <c r="C540" s="24"/>
      <c r="D540" s="24"/>
      <c r="E540" s="24"/>
      <c r="F540" s="24"/>
      <c r="G540" s="24"/>
      <c r="H540" s="48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0" customHeight="1">
      <c r="A541" s="68"/>
      <c r="B541" s="24"/>
      <c r="C541" s="24"/>
      <c r="D541" s="24"/>
      <c r="E541" s="24"/>
      <c r="F541" s="24"/>
      <c r="G541" s="24"/>
      <c r="H541" s="48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0" customHeight="1">
      <c r="A542" s="68"/>
      <c r="B542" s="24"/>
      <c r="C542" s="24"/>
      <c r="D542" s="24"/>
      <c r="E542" s="24"/>
      <c r="F542" s="24"/>
      <c r="G542" s="24"/>
      <c r="H542" s="48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0" customHeight="1">
      <c r="A543" s="68"/>
      <c r="B543" s="24"/>
      <c r="C543" s="24"/>
      <c r="D543" s="24"/>
      <c r="E543" s="24"/>
      <c r="F543" s="24"/>
      <c r="G543" s="24"/>
      <c r="H543" s="48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0" customHeight="1">
      <c r="A544" s="68"/>
      <c r="B544" s="24"/>
      <c r="C544" s="24"/>
      <c r="D544" s="24"/>
      <c r="E544" s="24"/>
      <c r="F544" s="24"/>
      <c r="G544" s="24"/>
      <c r="H544" s="48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0" customHeight="1">
      <c r="A545" s="68"/>
      <c r="B545" s="24"/>
      <c r="C545" s="24"/>
      <c r="D545" s="24"/>
      <c r="E545" s="24"/>
      <c r="F545" s="24"/>
      <c r="G545" s="24"/>
      <c r="H545" s="48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0" customHeight="1">
      <c r="A546" s="68"/>
      <c r="B546" s="24"/>
      <c r="C546" s="24"/>
      <c r="D546" s="24"/>
      <c r="E546" s="24"/>
      <c r="F546" s="24"/>
      <c r="G546" s="24"/>
      <c r="H546" s="48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0" customHeight="1">
      <c r="A547" s="68"/>
      <c r="B547" s="24"/>
      <c r="C547" s="24"/>
      <c r="D547" s="24"/>
      <c r="E547" s="24"/>
      <c r="F547" s="24"/>
      <c r="G547" s="24"/>
      <c r="H547" s="48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0" customHeight="1">
      <c r="A548" s="68"/>
      <c r="B548" s="24"/>
      <c r="C548" s="24"/>
      <c r="D548" s="24"/>
      <c r="E548" s="24"/>
      <c r="F548" s="24"/>
      <c r="G548" s="24"/>
      <c r="H548" s="48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0" customHeight="1">
      <c r="A549" s="68"/>
      <c r="B549" s="24"/>
      <c r="C549" s="24"/>
      <c r="D549" s="24"/>
      <c r="E549" s="24"/>
      <c r="F549" s="24"/>
      <c r="G549" s="24"/>
      <c r="H549" s="48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0" customHeight="1">
      <c r="A550" s="68"/>
      <c r="B550" s="24"/>
      <c r="C550" s="24"/>
      <c r="D550" s="24"/>
      <c r="E550" s="24"/>
      <c r="F550" s="24"/>
      <c r="G550" s="24"/>
      <c r="H550" s="48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0" customHeight="1">
      <c r="A551" s="68"/>
      <c r="B551" s="24"/>
      <c r="C551" s="24"/>
      <c r="D551" s="24"/>
      <c r="E551" s="24"/>
      <c r="F551" s="24"/>
      <c r="G551" s="24"/>
      <c r="H551" s="48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0" customHeight="1">
      <c r="A552" s="68"/>
      <c r="B552" s="24"/>
      <c r="C552" s="24"/>
      <c r="D552" s="24"/>
      <c r="E552" s="24"/>
      <c r="F552" s="24"/>
      <c r="G552" s="24"/>
      <c r="H552" s="48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0" customHeight="1">
      <c r="A553" s="68"/>
      <c r="B553" s="24"/>
      <c r="C553" s="24"/>
      <c r="D553" s="24"/>
      <c r="E553" s="24"/>
      <c r="F553" s="24"/>
      <c r="G553" s="24"/>
      <c r="H553" s="48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0" customHeight="1">
      <c r="A554" s="68"/>
      <c r="B554" s="24"/>
      <c r="C554" s="24"/>
      <c r="D554" s="24"/>
      <c r="E554" s="24"/>
      <c r="F554" s="24"/>
      <c r="G554" s="24"/>
      <c r="H554" s="48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0" customHeight="1">
      <c r="A555" s="68"/>
      <c r="B555" s="24"/>
      <c r="C555" s="24"/>
      <c r="D555" s="24"/>
      <c r="E555" s="24"/>
      <c r="F555" s="24"/>
      <c r="G555" s="24"/>
      <c r="H555" s="48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0" customHeight="1">
      <c r="A556" s="68"/>
      <c r="B556" s="24"/>
      <c r="C556" s="24"/>
      <c r="D556" s="24"/>
      <c r="E556" s="24"/>
      <c r="F556" s="24"/>
      <c r="G556" s="24"/>
      <c r="H556" s="48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0" customHeight="1">
      <c r="A557" s="68"/>
      <c r="B557" s="24"/>
      <c r="C557" s="24"/>
      <c r="D557" s="24"/>
      <c r="E557" s="24"/>
      <c r="F557" s="24"/>
      <c r="G557" s="24"/>
      <c r="H557" s="48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0" customHeight="1">
      <c r="A558" s="68"/>
      <c r="B558" s="24"/>
      <c r="C558" s="24"/>
      <c r="D558" s="24"/>
      <c r="E558" s="24"/>
      <c r="F558" s="24"/>
      <c r="G558" s="24"/>
      <c r="H558" s="48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0" customHeight="1">
      <c r="A559" s="68"/>
      <c r="B559" s="24"/>
      <c r="C559" s="24"/>
      <c r="D559" s="24"/>
      <c r="E559" s="24"/>
      <c r="F559" s="24"/>
      <c r="G559" s="24"/>
      <c r="H559" s="48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0" customHeight="1">
      <c r="A560" s="68"/>
      <c r="B560" s="24"/>
      <c r="C560" s="24"/>
      <c r="D560" s="24"/>
      <c r="E560" s="24"/>
      <c r="F560" s="24"/>
      <c r="G560" s="24"/>
      <c r="H560" s="48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0" customHeight="1">
      <c r="A561" s="68"/>
      <c r="B561" s="24"/>
      <c r="C561" s="24"/>
      <c r="D561" s="24"/>
      <c r="E561" s="24"/>
      <c r="F561" s="24"/>
      <c r="G561" s="24"/>
      <c r="H561" s="48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0" customHeight="1">
      <c r="A562" s="68"/>
      <c r="B562" s="24"/>
      <c r="C562" s="24"/>
      <c r="D562" s="24"/>
      <c r="E562" s="24"/>
      <c r="F562" s="24"/>
      <c r="G562" s="24"/>
      <c r="H562" s="48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0" customHeight="1">
      <c r="A563" s="68"/>
      <c r="B563" s="24"/>
      <c r="C563" s="24"/>
      <c r="D563" s="24"/>
      <c r="E563" s="24"/>
      <c r="F563" s="24"/>
      <c r="G563" s="24"/>
      <c r="H563" s="48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0" customHeight="1">
      <c r="A564" s="68"/>
      <c r="B564" s="24"/>
      <c r="C564" s="24"/>
      <c r="D564" s="24"/>
      <c r="E564" s="24"/>
      <c r="F564" s="24"/>
      <c r="G564" s="24"/>
      <c r="H564" s="48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0" customHeight="1">
      <c r="A565" s="68"/>
      <c r="B565" s="24"/>
      <c r="C565" s="24"/>
      <c r="D565" s="24"/>
      <c r="E565" s="24"/>
      <c r="F565" s="24"/>
      <c r="G565" s="24"/>
      <c r="H565" s="48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0" customHeight="1">
      <c r="A566" s="68"/>
      <c r="B566" s="24"/>
      <c r="C566" s="24"/>
      <c r="D566" s="24"/>
      <c r="E566" s="24"/>
      <c r="F566" s="24"/>
      <c r="G566" s="24"/>
      <c r="H566" s="48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0" customHeight="1">
      <c r="A567" s="68"/>
      <c r="B567" s="24"/>
      <c r="C567" s="24"/>
      <c r="D567" s="24"/>
      <c r="E567" s="24"/>
      <c r="F567" s="24"/>
      <c r="G567" s="24"/>
      <c r="H567" s="48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0" customHeight="1">
      <c r="A568" s="68"/>
      <c r="B568" s="24"/>
      <c r="C568" s="24"/>
      <c r="D568" s="24"/>
      <c r="E568" s="24"/>
      <c r="F568" s="24"/>
      <c r="G568" s="24"/>
      <c r="H568" s="48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0" customHeight="1">
      <c r="A569" s="68"/>
      <c r="B569" s="24"/>
      <c r="C569" s="24"/>
      <c r="D569" s="24"/>
      <c r="E569" s="24"/>
      <c r="F569" s="24"/>
      <c r="G569" s="24"/>
      <c r="H569" s="48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0" customHeight="1">
      <c r="A570" s="68"/>
      <c r="B570" s="24"/>
      <c r="C570" s="24"/>
      <c r="D570" s="24"/>
      <c r="E570" s="24"/>
      <c r="F570" s="24"/>
      <c r="G570" s="24"/>
      <c r="H570" s="48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0" customHeight="1">
      <c r="A571" s="68"/>
      <c r="B571" s="24"/>
      <c r="C571" s="24"/>
      <c r="D571" s="24"/>
      <c r="E571" s="24"/>
      <c r="F571" s="24"/>
      <c r="G571" s="24"/>
      <c r="H571" s="48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0" customHeight="1">
      <c r="A572" s="68"/>
      <c r="B572" s="24"/>
      <c r="C572" s="24"/>
      <c r="D572" s="24"/>
      <c r="E572" s="24"/>
      <c r="F572" s="24"/>
      <c r="G572" s="24"/>
      <c r="H572" s="48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0" customHeight="1">
      <c r="A573" s="68"/>
      <c r="B573" s="24"/>
      <c r="C573" s="24"/>
      <c r="D573" s="24"/>
      <c r="E573" s="24"/>
      <c r="F573" s="24"/>
      <c r="G573" s="24"/>
      <c r="H573" s="48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0" customHeight="1">
      <c r="A574" s="68"/>
      <c r="B574" s="24"/>
      <c r="C574" s="24"/>
      <c r="D574" s="24"/>
      <c r="E574" s="24"/>
      <c r="F574" s="24"/>
      <c r="G574" s="24"/>
      <c r="H574" s="48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0" customHeight="1">
      <c r="A575" s="68"/>
      <c r="B575" s="24"/>
      <c r="C575" s="24"/>
      <c r="D575" s="24"/>
      <c r="E575" s="24"/>
      <c r="F575" s="24"/>
      <c r="G575" s="24"/>
      <c r="H575" s="48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0" customHeight="1">
      <c r="A576" s="68"/>
      <c r="B576" s="24"/>
      <c r="C576" s="24"/>
      <c r="D576" s="24"/>
      <c r="E576" s="24"/>
      <c r="F576" s="24"/>
      <c r="G576" s="24"/>
      <c r="H576" s="48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0" customHeight="1">
      <c r="A577" s="68"/>
      <c r="B577" s="24"/>
      <c r="C577" s="24"/>
      <c r="D577" s="24"/>
      <c r="E577" s="24"/>
      <c r="F577" s="24"/>
      <c r="G577" s="24"/>
      <c r="H577" s="48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0" customHeight="1">
      <c r="A578" s="68"/>
      <c r="B578" s="24"/>
      <c r="C578" s="24"/>
      <c r="D578" s="24"/>
      <c r="E578" s="24"/>
      <c r="F578" s="24"/>
      <c r="G578" s="24"/>
      <c r="H578" s="48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0" customHeight="1">
      <c r="A579" s="68"/>
      <c r="B579" s="24"/>
      <c r="C579" s="24"/>
      <c r="D579" s="24"/>
      <c r="E579" s="24"/>
      <c r="F579" s="24"/>
      <c r="G579" s="24"/>
      <c r="H579" s="48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0" customHeight="1">
      <c r="A580" s="68"/>
      <c r="B580" s="24"/>
      <c r="C580" s="24"/>
      <c r="D580" s="24"/>
      <c r="E580" s="24"/>
      <c r="F580" s="24"/>
      <c r="G580" s="24"/>
      <c r="H580" s="48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0" customHeight="1">
      <c r="A581" s="68"/>
      <c r="B581" s="24"/>
      <c r="C581" s="24"/>
      <c r="D581" s="24"/>
      <c r="E581" s="24"/>
      <c r="F581" s="24"/>
      <c r="G581" s="24"/>
      <c r="H581" s="48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0" customHeight="1">
      <c r="A582" s="68"/>
      <c r="B582" s="24"/>
      <c r="C582" s="24"/>
      <c r="D582" s="24"/>
      <c r="E582" s="24"/>
      <c r="F582" s="24"/>
      <c r="G582" s="24"/>
      <c r="H582" s="48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0" customHeight="1">
      <c r="A583" s="68"/>
      <c r="B583" s="24"/>
      <c r="C583" s="24"/>
      <c r="D583" s="24"/>
      <c r="E583" s="24"/>
      <c r="F583" s="24"/>
      <c r="G583" s="24"/>
      <c r="H583" s="48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0" customHeight="1">
      <c r="A584" s="68"/>
      <c r="B584" s="24"/>
      <c r="C584" s="24"/>
      <c r="D584" s="24"/>
      <c r="E584" s="24"/>
      <c r="F584" s="24"/>
      <c r="G584" s="24"/>
      <c r="H584" s="48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0" customHeight="1">
      <c r="A585" s="68"/>
      <c r="B585" s="24"/>
      <c r="C585" s="24"/>
      <c r="D585" s="24"/>
      <c r="E585" s="24"/>
      <c r="F585" s="24"/>
      <c r="G585" s="24"/>
      <c r="H585" s="48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0" customHeight="1">
      <c r="A586" s="68"/>
      <c r="B586" s="24"/>
      <c r="C586" s="24"/>
      <c r="D586" s="24"/>
      <c r="E586" s="24"/>
      <c r="F586" s="24"/>
      <c r="G586" s="24"/>
      <c r="H586" s="48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0" customHeight="1">
      <c r="A587" s="68"/>
      <c r="B587" s="24"/>
      <c r="C587" s="24"/>
      <c r="D587" s="24"/>
      <c r="E587" s="24"/>
      <c r="F587" s="24"/>
      <c r="G587" s="24"/>
      <c r="H587" s="48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0" customHeight="1">
      <c r="A588" s="68"/>
      <c r="B588" s="24"/>
      <c r="C588" s="24"/>
      <c r="D588" s="24"/>
      <c r="E588" s="24"/>
      <c r="F588" s="24"/>
      <c r="G588" s="24"/>
      <c r="H588" s="48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0" customHeight="1">
      <c r="A589" s="68"/>
      <c r="B589" s="24"/>
      <c r="C589" s="24"/>
      <c r="D589" s="24"/>
      <c r="E589" s="24"/>
      <c r="F589" s="24"/>
      <c r="G589" s="24"/>
      <c r="H589" s="48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0" customHeight="1">
      <c r="A590" s="68"/>
      <c r="B590" s="24"/>
      <c r="C590" s="24"/>
      <c r="D590" s="24"/>
      <c r="E590" s="24"/>
      <c r="F590" s="24"/>
      <c r="G590" s="24"/>
      <c r="H590" s="48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0" customHeight="1">
      <c r="A591" s="68"/>
      <c r="B591" s="24"/>
      <c r="C591" s="24"/>
      <c r="D591" s="24"/>
      <c r="E591" s="24"/>
      <c r="F591" s="24"/>
      <c r="G591" s="24"/>
      <c r="H591" s="48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0" customHeight="1">
      <c r="A592" s="68"/>
      <c r="B592" s="24"/>
      <c r="C592" s="24"/>
      <c r="D592" s="24"/>
      <c r="E592" s="24"/>
      <c r="F592" s="24"/>
      <c r="G592" s="24"/>
      <c r="H592" s="48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0" customHeight="1">
      <c r="A593" s="68"/>
      <c r="B593" s="24"/>
      <c r="C593" s="24"/>
      <c r="D593" s="24"/>
      <c r="E593" s="24"/>
      <c r="F593" s="24"/>
      <c r="G593" s="24"/>
      <c r="H593" s="48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0" customHeight="1">
      <c r="A594" s="68"/>
      <c r="B594" s="24"/>
      <c r="C594" s="24"/>
      <c r="D594" s="24"/>
      <c r="E594" s="24"/>
      <c r="F594" s="24"/>
      <c r="G594" s="24"/>
      <c r="H594" s="48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0" customHeight="1">
      <c r="A595" s="68"/>
      <c r="B595" s="24"/>
      <c r="C595" s="24"/>
      <c r="D595" s="24"/>
      <c r="E595" s="24"/>
      <c r="F595" s="24"/>
      <c r="G595" s="24"/>
      <c r="H595" s="48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0" customHeight="1">
      <c r="A596" s="68"/>
      <c r="B596" s="24"/>
      <c r="C596" s="24"/>
      <c r="D596" s="24"/>
      <c r="E596" s="24"/>
      <c r="F596" s="24"/>
      <c r="G596" s="24"/>
      <c r="H596" s="48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0" customHeight="1">
      <c r="A597" s="68"/>
      <c r="B597" s="24"/>
      <c r="C597" s="24"/>
      <c r="D597" s="24"/>
      <c r="E597" s="24"/>
      <c r="F597" s="24"/>
      <c r="G597" s="24"/>
      <c r="H597" s="48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0" customHeight="1">
      <c r="A598" s="68"/>
      <c r="B598" s="24"/>
      <c r="C598" s="24"/>
      <c r="D598" s="24"/>
      <c r="E598" s="24"/>
      <c r="F598" s="24"/>
      <c r="G598" s="24"/>
      <c r="H598" s="48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0" customHeight="1">
      <c r="A599" s="68"/>
      <c r="B599" s="24"/>
      <c r="C599" s="24"/>
      <c r="D599" s="24"/>
      <c r="E599" s="24"/>
      <c r="F599" s="24"/>
      <c r="G599" s="24"/>
      <c r="H599" s="48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0" customHeight="1">
      <c r="A600" s="68"/>
      <c r="B600" s="24"/>
      <c r="C600" s="24"/>
      <c r="D600" s="24"/>
      <c r="E600" s="24"/>
      <c r="F600" s="24"/>
      <c r="G600" s="24"/>
      <c r="H600" s="48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0" customHeight="1">
      <c r="A601" s="68"/>
      <c r="B601" s="24"/>
      <c r="C601" s="24"/>
      <c r="D601" s="24"/>
      <c r="E601" s="24"/>
      <c r="F601" s="24"/>
      <c r="G601" s="24"/>
      <c r="H601" s="48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0" customHeight="1">
      <c r="A602" s="68"/>
      <c r="B602" s="24"/>
      <c r="C602" s="24"/>
      <c r="D602" s="24"/>
      <c r="E602" s="24"/>
      <c r="F602" s="24"/>
      <c r="G602" s="24"/>
      <c r="H602" s="48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0" customHeight="1">
      <c r="A603" s="68"/>
      <c r="B603" s="24"/>
      <c r="C603" s="24"/>
      <c r="D603" s="24"/>
      <c r="E603" s="24"/>
      <c r="F603" s="24"/>
      <c r="G603" s="24"/>
      <c r="H603" s="48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0" customHeight="1">
      <c r="A604" s="68"/>
      <c r="B604" s="24"/>
      <c r="C604" s="24"/>
      <c r="D604" s="24"/>
      <c r="E604" s="24"/>
      <c r="F604" s="24"/>
      <c r="G604" s="24"/>
      <c r="H604" s="48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0" customHeight="1">
      <c r="A605" s="68"/>
      <c r="B605" s="24"/>
      <c r="C605" s="24"/>
      <c r="D605" s="24"/>
      <c r="E605" s="24"/>
      <c r="F605" s="24"/>
      <c r="G605" s="24"/>
      <c r="H605" s="48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0" customHeight="1">
      <c r="A606" s="68"/>
      <c r="B606" s="24"/>
      <c r="C606" s="24"/>
      <c r="D606" s="24"/>
      <c r="E606" s="24"/>
      <c r="F606" s="24"/>
      <c r="G606" s="24"/>
      <c r="H606" s="48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0" customHeight="1">
      <c r="A607" s="68"/>
      <c r="B607" s="24"/>
      <c r="C607" s="24"/>
      <c r="D607" s="24"/>
      <c r="E607" s="24"/>
      <c r="F607" s="24"/>
      <c r="G607" s="24"/>
      <c r="H607" s="48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0" customHeight="1">
      <c r="A608" s="68"/>
      <c r="B608" s="24"/>
      <c r="C608" s="24"/>
      <c r="D608" s="24"/>
      <c r="E608" s="24"/>
      <c r="F608" s="24"/>
      <c r="G608" s="24"/>
      <c r="H608" s="48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0" customHeight="1">
      <c r="A609" s="68"/>
      <c r="B609" s="24"/>
      <c r="C609" s="24"/>
      <c r="D609" s="24"/>
      <c r="E609" s="24"/>
      <c r="F609" s="24"/>
      <c r="G609" s="24"/>
      <c r="H609" s="48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0" customHeight="1">
      <c r="A610" s="68"/>
      <c r="B610" s="24"/>
      <c r="C610" s="24"/>
      <c r="D610" s="24"/>
      <c r="E610" s="24"/>
      <c r="F610" s="24"/>
      <c r="G610" s="24"/>
      <c r="H610" s="48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0" customHeight="1">
      <c r="A611" s="68"/>
      <c r="B611" s="24"/>
      <c r="C611" s="24"/>
      <c r="D611" s="24"/>
      <c r="E611" s="24"/>
      <c r="F611" s="24"/>
      <c r="G611" s="24"/>
      <c r="H611" s="48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0" customHeight="1">
      <c r="A612" s="68"/>
      <c r="B612" s="24"/>
      <c r="C612" s="24"/>
      <c r="D612" s="24"/>
      <c r="E612" s="24"/>
      <c r="F612" s="24"/>
      <c r="G612" s="24"/>
      <c r="H612" s="48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0" customHeight="1">
      <c r="A613" s="68"/>
      <c r="B613" s="24"/>
      <c r="C613" s="24"/>
      <c r="D613" s="24"/>
      <c r="E613" s="24"/>
      <c r="F613" s="24"/>
      <c r="G613" s="24"/>
      <c r="H613" s="48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0" customHeight="1">
      <c r="A614" s="68"/>
      <c r="B614" s="24"/>
      <c r="C614" s="24"/>
      <c r="D614" s="24"/>
      <c r="E614" s="24"/>
      <c r="F614" s="24"/>
      <c r="G614" s="24"/>
      <c r="H614" s="48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0" customHeight="1">
      <c r="A615" s="68"/>
      <c r="B615" s="24"/>
      <c r="C615" s="24"/>
      <c r="D615" s="24"/>
      <c r="E615" s="24"/>
      <c r="F615" s="24"/>
      <c r="G615" s="24"/>
      <c r="H615" s="48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0" customHeight="1">
      <c r="A616" s="68"/>
      <c r="B616" s="24"/>
      <c r="C616" s="24"/>
      <c r="D616" s="24"/>
      <c r="E616" s="24"/>
      <c r="F616" s="24"/>
      <c r="G616" s="24"/>
      <c r="H616" s="48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0" customHeight="1">
      <c r="A617" s="68"/>
      <c r="B617" s="24"/>
      <c r="C617" s="24"/>
      <c r="D617" s="24"/>
      <c r="E617" s="24"/>
      <c r="F617" s="24"/>
      <c r="G617" s="24"/>
      <c r="H617" s="48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0" customHeight="1">
      <c r="A618" s="68"/>
      <c r="B618" s="24"/>
      <c r="C618" s="24"/>
      <c r="D618" s="24"/>
      <c r="E618" s="24"/>
      <c r="F618" s="24"/>
      <c r="G618" s="24"/>
      <c r="H618" s="48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0" customHeight="1">
      <c r="A619" s="68"/>
      <c r="B619" s="24"/>
      <c r="C619" s="24"/>
      <c r="D619" s="24"/>
      <c r="E619" s="24"/>
      <c r="F619" s="24"/>
      <c r="G619" s="24"/>
      <c r="H619" s="48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0" customHeight="1">
      <c r="A620" s="68"/>
      <c r="B620" s="24"/>
      <c r="C620" s="24"/>
      <c r="D620" s="24"/>
      <c r="E620" s="24"/>
      <c r="F620" s="24"/>
      <c r="G620" s="24"/>
      <c r="H620" s="48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0" customHeight="1">
      <c r="A621" s="68"/>
      <c r="B621" s="24"/>
      <c r="C621" s="24"/>
      <c r="D621" s="24"/>
      <c r="E621" s="24"/>
      <c r="F621" s="24"/>
      <c r="G621" s="24"/>
      <c r="H621" s="48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0" customHeight="1">
      <c r="A622" s="68"/>
      <c r="B622" s="24"/>
      <c r="C622" s="24"/>
      <c r="D622" s="24"/>
      <c r="E622" s="24"/>
      <c r="F622" s="24"/>
      <c r="G622" s="24"/>
      <c r="H622" s="48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0" customHeight="1">
      <c r="A623" s="68"/>
      <c r="B623" s="24"/>
      <c r="C623" s="24"/>
      <c r="D623" s="24"/>
      <c r="E623" s="24"/>
      <c r="F623" s="24"/>
      <c r="G623" s="24"/>
      <c r="H623" s="48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0" customHeight="1">
      <c r="A624" s="68"/>
      <c r="B624" s="24"/>
      <c r="C624" s="24"/>
      <c r="D624" s="24"/>
      <c r="E624" s="24"/>
      <c r="F624" s="24"/>
      <c r="G624" s="24"/>
      <c r="H624" s="48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0" customHeight="1">
      <c r="A625" s="68"/>
      <c r="B625" s="24"/>
      <c r="C625" s="24"/>
      <c r="D625" s="24"/>
      <c r="E625" s="24"/>
      <c r="F625" s="24"/>
      <c r="G625" s="24"/>
      <c r="H625" s="48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0" customHeight="1">
      <c r="A626" s="68"/>
      <c r="B626" s="24"/>
      <c r="C626" s="24"/>
      <c r="D626" s="24"/>
      <c r="E626" s="24"/>
      <c r="F626" s="24"/>
      <c r="G626" s="24"/>
      <c r="H626" s="48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0" customHeight="1">
      <c r="A627" s="68"/>
      <c r="B627" s="24"/>
      <c r="C627" s="24"/>
      <c r="D627" s="24"/>
      <c r="E627" s="24"/>
      <c r="F627" s="24"/>
      <c r="G627" s="24"/>
      <c r="H627" s="48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0" customHeight="1">
      <c r="A628" s="68"/>
      <c r="B628" s="24"/>
      <c r="C628" s="24"/>
      <c r="D628" s="24"/>
      <c r="E628" s="24"/>
      <c r="F628" s="24"/>
      <c r="G628" s="24"/>
      <c r="H628" s="48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0" customHeight="1">
      <c r="A629" s="68"/>
      <c r="B629" s="24"/>
      <c r="C629" s="24"/>
      <c r="D629" s="24"/>
      <c r="E629" s="24"/>
      <c r="F629" s="24"/>
      <c r="G629" s="24"/>
      <c r="H629" s="48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0" customHeight="1">
      <c r="A630" s="68"/>
      <c r="B630" s="24"/>
      <c r="C630" s="24"/>
      <c r="D630" s="24"/>
      <c r="E630" s="24"/>
      <c r="F630" s="24"/>
      <c r="G630" s="24"/>
      <c r="H630" s="48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0" customHeight="1">
      <c r="A631" s="68"/>
      <c r="B631" s="24"/>
      <c r="C631" s="24"/>
      <c r="D631" s="24"/>
      <c r="E631" s="24"/>
      <c r="F631" s="24"/>
      <c r="G631" s="24"/>
      <c r="H631" s="48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0" customHeight="1">
      <c r="A632" s="68"/>
      <c r="B632" s="24"/>
      <c r="C632" s="24"/>
      <c r="D632" s="24"/>
      <c r="E632" s="24"/>
      <c r="F632" s="24"/>
      <c r="G632" s="24"/>
      <c r="H632" s="48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0" customHeight="1">
      <c r="A633" s="68"/>
      <c r="B633" s="24"/>
      <c r="C633" s="24"/>
      <c r="D633" s="24"/>
      <c r="E633" s="24"/>
      <c r="F633" s="24"/>
      <c r="G633" s="24"/>
      <c r="H633" s="48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0" customHeight="1">
      <c r="A634" s="68"/>
      <c r="B634" s="24"/>
      <c r="C634" s="24"/>
      <c r="D634" s="24"/>
      <c r="E634" s="24"/>
      <c r="F634" s="24"/>
      <c r="G634" s="24"/>
      <c r="H634" s="48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0" customHeight="1">
      <c r="A635" s="68"/>
      <c r="B635" s="24"/>
      <c r="C635" s="24"/>
      <c r="D635" s="24"/>
      <c r="E635" s="24"/>
      <c r="F635" s="24"/>
      <c r="G635" s="24"/>
      <c r="H635" s="48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0" customHeight="1">
      <c r="A636" s="68"/>
      <c r="B636" s="24"/>
      <c r="C636" s="24"/>
      <c r="D636" s="24"/>
      <c r="E636" s="24"/>
      <c r="F636" s="24"/>
      <c r="G636" s="24"/>
      <c r="H636" s="48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0" customHeight="1">
      <c r="A637" s="68"/>
      <c r="B637" s="24"/>
      <c r="C637" s="24"/>
      <c r="D637" s="24"/>
      <c r="E637" s="24"/>
      <c r="F637" s="24"/>
      <c r="G637" s="24"/>
      <c r="H637" s="48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0" customHeight="1">
      <c r="A638" s="68"/>
      <c r="B638" s="24"/>
      <c r="C638" s="24"/>
      <c r="D638" s="24"/>
      <c r="E638" s="24"/>
      <c r="F638" s="24"/>
      <c r="G638" s="24"/>
      <c r="H638" s="48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0" customHeight="1">
      <c r="A639" s="68"/>
      <c r="B639" s="24"/>
      <c r="C639" s="24"/>
      <c r="D639" s="24"/>
      <c r="E639" s="24"/>
      <c r="F639" s="24"/>
      <c r="G639" s="24"/>
      <c r="H639" s="48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0" customHeight="1">
      <c r="A640" s="68"/>
      <c r="B640" s="24"/>
      <c r="C640" s="24"/>
      <c r="D640" s="24"/>
      <c r="E640" s="24"/>
      <c r="F640" s="24"/>
      <c r="G640" s="24"/>
      <c r="H640" s="48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0" customHeight="1">
      <c r="A641" s="68"/>
      <c r="B641" s="24"/>
      <c r="C641" s="24"/>
      <c r="D641" s="24"/>
      <c r="E641" s="24"/>
      <c r="F641" s="24"/>
      <c r="G641" s="24"/>
      <c r="H641" s="48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0" customHeight="1">
      <c r="A642" s="68"/>
      <c r="B642" s="24"/>
      <c r="C642" s="24"/>
      <c r="D642" s="24"/>
      <c r="E642" s="24"/>
      <c r="F642" s="24"/>
      <c r="G642" s="24"/>
      <c r="H642" s="48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0" customHeight="1">
      <c r="A643" s="68"/>
      <c r="B643" s="24"/>
      <c r="C643" s="24"/>
      <c r="D643" s="24"/>
      <c r="E643" s="24"/>
      <c r="F643" s="24"/>
      <c r="G643" s="24"/>
      <c r="H643" s="48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0" customHeight="1">
      <c r="A644" s="68"/>
      <c r="B644" s="24"/>
      <c r="C644" s="24"/>
      <c r="D644" s="24"/>
      <c r="E644" s="24"/>
      <c r="F644" s="24"/>
      <c r="G644" s="24"/>
      <c r="H644" s="48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0" customHeight="1">
      <c r="A645" s="68"/>
      <c r="B645" s="24"/>
      <c r="C645" s="24"/>
      <c r="D645" s="24"/>
      <c r="E645" s="24"/>
      <c r="F645" s="24"/>
      <c r="G645" s="24"/>
      <c r="H645" s="48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0" customHeight="1">
      <c r="A646" s="68"/>
      <c r="B646" s="24"/>
      <c r="C646" s="24"/>
      <c r="D646" s="24"/>
      <c r="E646" s="24"/>
      <c r="F646" s="24"/>
      <c r="G646" s="24"/>
      <c r="H646" s="48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0" customHeight="1">
      <c r="A647" s="68"/>
      <c r="B647" s="24"/>
      <c r="C647" s="24"/>
      <c r="D647" s="24"/>
      <c r="E647" s="24"/>
      <c r="F647" s="24"/>
      <c r="G647" s="24"/>
      <c r="H647" s="48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0" customHeight="1">
      <c r="A648" s="68"/>
      <c r="B648" s="24"/>
      <c r="C648" s="24"/>
      <c r="D648" s="24"/>
      <c r="E648" s="24"/>
      <c r="F648" s="24"/>
      <c r="G648" s="24"/>
      <c r="H648" s="48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0" customHeight="1">
      <c r="A649" s="68"/>
      <c r="B649" s="24"/>
      <c r="C649" s="24"/>
      <c r="D649" s="24"/>
      <c r="E649" s="24"/>
      <c r="F649" s="24"/>
      <c r="G649" s="24"/>
      <c r="H649" s="48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0" customHeight="1">
      <c r="A650" s="68"/>
      <c r="B650" s="24"/>
      <c r="C650" s="24"/>
      <c r="D650" s="24"/>
      <c r="E650" s="24"/>
      <c r="F650" s="24"/>
      <c r="G650" s="24"/>
      <c r="H650" s="48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0" customHeight="1">
      <c r="A651" s="68"/>
      <c r="B651" s="24"/>
      <c r="C651" s="24"/>
      <c r="D651" s="24"/>
      <c r="E651" s="24"/>
      <c r="F651" s="24"/>
      <c r="G651" s="24"/>
      <c r="H651" s="48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0" customHeight="1">
      <c r="A652" s="68"/>
      <c r="B652" s="24"/>
      <c r="C652" s="24"/>
      <c r="D652" s="24"/>
      <c r="E652" s="24"/>
      <c r="F652" s="24"/>
      <c r="G652" s="24"/>
      <c r="H652" s="48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0" customHeight="1">
      <c r="A653" s="68"/>
      <c r="B653" s="24"/>
      <c r="C653" s="24"/>
      <c r="D653" s="24"/>
      <c r="E653" s="24"/>
      <c r="F653" s="24"/>
      <c r="G653" s="24"/>
      <c r="H653" s="48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0" customHeight="1">
      <c r="A654" s="68"/>
      <c r="B654" s="24"/>
      <c r="C654" s="24"/>
      <c r="D654" s="24"/>
      <c r="E654" s="24"/>
      <c r="F654" s="24"/>
      <c r="G654" s="24"/>
      <c r="H654" s="48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0" customHeight="1">
      <c r="A655" s="68"/>
      <c r="B655" s="24"/>
      <c r="C655" s="24"/>
      <c r="D655" s="24"/>
      <c r="E655" s="24"/>
      <c r="F655" s="24"/>
      <c r="G655" s="24"/>
      <c r="H655" s="48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0" customHeight="1">
      <c r="A656" s="68"/>
      <c r="B656" s="24"/>
      <c r="C656" s="24"/>
      <c r="D656" s="24"/>
      <c r="E656" s="24"/>
      <c r="F656" s="24"/>
      <c r="G656" s="24"/>
      <c r="H656" s="48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0" customHeight="1">
      <c r="A657" s="68"/>
      <c r="B657" s="24"/>
      <c r="C657" s="24"/>
      <c r="D657" s="24"/>
      <c r="E657" s="24"/>
      <c r="F657" s="24"/>
      <c r="G657" s="24"/>
      <c r="H657" s="48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0" customHeight="1">
      <c r="A658" s="68"/>
      <c r="B658" s="24"/>
      <c r="C658" s="24"/>
      <c r="D658" s="24"/>
      <c r="E658" s="24"/>
      <c r="F658" s="24"/>
      <c r="G658" s="24"/>
      <c r="H658" s="48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0" customHeight="1">
      <c r="A659" s="68"/>
      <c r="B659" s="24"/>
      <c r="C659" s="24"/>
      <c r="D659" s="24"/>
      <c r="E659" s="24"/>
      <c r="F659" s="24"/>
      <c r="G659" s="24"/>
      <c r="H659" s="48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0" customHeight="1">
      <c r="A660" s="68"/>
      <c r="B660" s="24"/>
      <c r="C660" s="24"/>
      <c r="D660" s="24"/>
      <c r="E660" s="24"/>
      <c r="F660" s="24"/>
      <c r="G660" s="24"/>
      <c r="H660" s="48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0" customHeight="1">
      <c r="A661" s="68"/>
      <c r="B661" s="24"/>
      <c r="C661" s="24"/>
      <c r="D661" s="24"/>
      <c r="E661" s="24"/>
      <c r="F661" s="24"/>
      <c r="G661" s="24"/>
      <c r="H661" s="48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0" customHeight="1">
      <c r="A662" s="68"/>
      <c r="B662" s="24"/>
      <c r="C662" s="24"/>
      <c r="D662" s="24"/>
      <c r="E662" s="24"/>
      <c r="F662" s="24"/>
      <c r="G662" s="24"/>
      <c r="H662" s="48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0" customHeight="1">
      <c r="A663" s="68"/>
      <c r="B663" s="24"/>
      <c r="C663" s="24"/>
      <c r="D663" s="24"/>
      <c r="E663" s="24"/>
      <c r="F663" s="24"/>
      <c r="G663" s="24"/>
      <c r="H663" s="48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0" customHeight="1">
      <c r="A664" s="68"/>
      <c r="B664" s="24"/>
      <c r="C664" s="24"/>
      <c r="D664" s="24"/>
      <c r="E664" s="24"/>
      <c r="F664" s="24"/>
      <c r="G664" s="24"/>
      <c r="H664" s="48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0" customHeight="1">
      <c r="A665" s="68"/>
      <c r="B665" s="24"/>
      <c r="C665" s="24"/>
      <c r="D665" s="24"/>
      <c r="E665" s="24"/>
      <c r="F665" s="24"/>
      <c r="G665" s="24"/>
      <c r="H665" s="48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0" customHeight="1">
      <c r="A666" s="68"/>
      <c r="B666" s="24"/>
      <c r="C666" s="24"/>
      <c r="D666" s="24"/>
      <c r="E666" s="24"/>
      <c r="F666" s="24"/>
      <c r="G666" s="24"/>
      <c r="H666" s="48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0" customHeight="1">
      <c r="A667" s="68"/>
      <c r="B667" s="24"/>
      <c r="C667" s="24"/>
      <c r="D667" s="24"/>
      <c r="E667" s="24"/>
      <c r="F667" s="24"/>
      <c r="G667" s="24"/>
      <c r="H667" s="48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0" customHeight="1">
      <c r="A668" s="68"/>
      <c r="B668" s="24"/>
      <c r="C668" s="24"/>
      <c r="D668" s="24"/>
      <c r="E668" s="24"/>
      <c r="F668" s="24"/>
      <c r="G668" s="24"/>
      <c r="H668" s="48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0" customHeight="1">
      <c r="A669" s="68"/>
      <c r="B669" s="24"/>
      <c r="C669" s="24"/>
      <c r="D669" s="24"/>
      <c r="E669" s="24"/>
      <c r="F669" s="24"/>
      <c r="G669" s="24"/>
      <c r="H669" s="48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0" customHeight="1">
      <c r="A670" s="68"/>
      <c r="B670" s="24"/>
      <c r="C670" s="24"/>
      <c r="D670" s="24"/>
      <c r="E670" s="24"/>
      <c r="F670" s="24"/>
      <c r="G670" s="24"/>
      <c r="H670" s="48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0" customHeight="1">
      <c r="A671" s="68"/>
      <c r="B671" s="24"/>
      <c r="C671" s="24"/>
      <c r="D671" s="24"/>
      <c r="E671" s="24"/>
      <c r="F671" s="24"/>
      <c r="G671" s="24"/>
      <c r="H671" s="48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0" customHeight="1">
      <c r="A672" s="68"/>
      <c r="B672" s="24"/>
      <c r="C672" s="24"/>
      <c r="D672" s="24"/>
      <c r="E672" s="24"/>
      <c r="F672" s="24"/>
      <c r="G672" s="24"/>
      <c r="H672" s="48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0" customHeight="1">
      <c r="A673" s="68"/>
      <c r="B673" s="24"/>
      <c r="C673" s="24"/>
      <c r="D673" s="24"/>
      <c r="E673" s="24"/>
      <c r="F673" s="24"/>
      <c r="G673" s="24"/>
      <c r="H673" s="48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0" customHeight="1">
      <c r="A674" s="68"/>
      <c r="B674" s="24"/>
      <c r="C674" s="24"/>
      <c r="D674" s="24"/>
      <c r="E674" s="24"/>
      <c r="F674" s="24"/>
      <c r="G674" s="24"/>
      <c r="H674" s="48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0" customHeight="1">
      <c r="A675" s="68"/>
      <c r="B675" s="24"/>
      <c r="C675" s="24"/>
      <c r="D675" s="24"/>
      <c r="E675" s="24"/>
      <c r="F675" s="24"/>
      <c r="G675" s="24"/>
      <c r="H675" s="48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0" customHeight="1">
      <c r="A676" s="68"/>
      <c r="B676" s="24"/>
      <c r="C676" s="24"/>
      <c r="D676" s="24"/>
      <c r="E676" s="24"/>
      <c r="F676" s="24"/>
      <c r="G676" s="24"/>
      <c r="H676" s="48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0" customHeight="1">
      <c r="A677" s="68"/>
      <c r="B677" s="24"/>
      <c r="C677" s="24"/>
      <c r="D677" s="24"/>
      <c r="E677" s="24"/>
      <c r="F677" s="24"/>
      <c r="G677" s="24"/>
      <c r="H677" s="48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0" customHeight="1">
      <c r="A678" s="68"/>
      <c r="B678" s="24"/>
      <c r="C678" s="24"/>
      <c r="D678" s="24"/>
      <c r="E678" s="24"/>
      <c r="F678" s="24"/>
      <c r="G678" s="24"/>
      <c r="H678" s="48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0" customHeight="1">
      <c r="A679" s="68"/>
      <c r="B679" s="24"/>
      <c r="C679" s="24"/>
      <c r="D679" s="24"/>
      <c r="E679" s="24"/>
      <c r="F679" s="24"/>
      <c r="G679" s="24"/>
      <c r="H679" s="48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0" customHeight="1">
      <c r="A680" s="68"/>
      <c r="B680" s="24"/>
      <c r="C680" s="24"/>
      <c r="D680" s="24"/>
      <c r="E680" s="24"/>
      <c r="F680" s="24"/>
      <c r="G680" s="24"/>
      <c r="H680" s="48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0" customHeight="1">
      <c r="A681" s="68"/>
      <c r="B681" s="24"/>
      <c r="C681" s="24"/>
      <c r="D681" s="24"/>
      <c r="E681" s="24"/>
      <c r="F681" s="24"/>
      <c r="G681" s="24"/>
      <c r="H681" s="48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0" customHeight="1">
      <c r="A682" s="68"/>
      <c r="B682" s="24"/>
      <c r="C682" s="24"/>
      <c r="D682" s="24"/>
      <c r="E682" s="24"/>
      <c r="F682" s="24"/>
      <c r="G682" s="24"/>
      <c r="H682" s="48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0" customHeight="1">
      <c r="A683" s="68"/>
      <c r="B683" s="24"/>
      <c r="C683" s="24"/>
      <c r="D683" s="24"/>
      <c r="E683" s="24"/>
      <c r="F683" s="24"/>
      <c r="G683" s="24"/>
      <c r="H683" s="48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0" customHeight="1">
      <c r="A684" s="68"/>
      <c r="B684" s="24"/>
      <c r="C684" s="24"/>
      <c r="D684" s="24"/>
      <c r="E684" s="24"/>
      <c r="F684" s="24"/>
      <c r="G684" s="24"/>
      <c r="H684" s="48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0" customHeight="1">
      <c r="A685" s="68"/>
      <c r="B685" s="24"/>
      <c r="C685" s="24"/>
      <c r="D685" s="24"/>
      <c r="E685" s="24"/>
      <c r="F685" s="24"/>
      <c r="G685" s="24"/>
      <c r="H685" s="48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0" customHeight="1">
      <c r="A686" s="68"/>
      <c r="B686" s="24"/>
      <c r="C686" s="24"/>
      <c r="D686" s="24"/>
      <c r="E686" s="24"/>
      <c r="F686" s="24"/>
      <c r="G686" s="24"/>
      <c r="H686" s="48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0" customHeight="1">
      <c r="A687" s="68"/>
      <c r="B687" s="24"/>
      <c r="C687" s="24"/>
      <c r="D687" s="24"/>
      <c r="E687" s="24"/>
      <c r="F687" s="24"/>
      <c r="G687" s="24"/>
      <c r="H687" s="48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0" customHeight="1">
      <c r="A688" s="68"/>
      <c r="B688" s="24"/>
      <c r="C688" s="24"/>
      <c r="D688" s="24"/>
      <c r="E688" s="24"/>
      <c r="F688" s="24"/>
      <c r="G688" s="24"/>
      <c r="H688" s="48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0" customHeight="1">
      <c r="A689" s="68"/>
      <c r="B689" s="24"/>
      <c r="C689" s="24"/>
      <c r="D689" s="24"/>
      <c r="E689" s="24"/>
      <c r="F689" s="24"/>
      <c r="G689" s="24"/>
      <c r="H689" s="48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0" customHeight="1">
      <c r="A690" s="68"/>
      <c r="B690" s="24"/>
      <c r="C690" s="24"/>
      <c r="D690" s="24"/>
      <c r="E690" s="24"/>
      <c r="F690" s="24"/>
      <c r="G690" s="24"/>
      <c r="H690" s="48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0" customHeight="1">
      <c r="A691" s="68"/>
      <c r="B691" s="24"/>
      <c r="C691" s="24"/>
      <c r="D691" s="24"/>
      <c r="E691" s="24"/>
      <c r="F691" s="24"/>
      <c r="G691" s="24"/>
      <c r="H691" s="48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0" customHeight="1">
      <c r="A692" s="68"/>
      <c r="B692" s="24"/>
      <c r="C692" s="24"/>
      <c r="D692" s="24"/>
      <c r="E692" s="24"/>
      <c r="F692" s="24"/>
      <c r="G692" s="24"/>
      <c r="H692" s="48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0" customHeight="1">
      <c r="A693" s="68"/>
      <c r="B693" s="24"/>
      <c r="C693" s="24"/>
      <c r="D693" s="24"/>
      <c r="E693" s="24"/>
      <c r="F693" s="24"/>
      <c r="G693" s="24"/>
      <c r="H693" s="48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0" customHeight="1">
      <c r="A694" s="68"/>
      <c r="B694" s="24"/>
      <c r="C694" s="24"/>
      <c r="D694" s="24"/>
      <c r="E694" s="24"/>
      <c r="F694" s="24"/>
      <c r="G694" s="24"/>
      <c r="H694" s="48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0" customHeight="1">
      <c r="A695" s="68"/>
      <c r="B695" s="24"/>
      <c r="C695" s="24"/>
      <c r="D695" s="24"/>
      <c r="E695" s="24"/>
      <c r="F695" s="24"/>
      <c r="G695" s="24"/>
      <c r="H695" s="48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0" customHeight="1">
      <c r="A696" s="68"/>
      <c r="B696" s="24"/>
      <c r="C696" s="24"/>
      <c r="D696" s="24"/>
      <c r="E696" s="24"/>
      <c r="F696" s="24"/>
      <c r="G696" s="24"/>
      <c r="H696" s="48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0" customHeight="1">
      <c r="A697" s="68"/>
      <c r="B697" s="24"/>
      <c r="C697" s="24"/>
      <c r="D697" s="24"/>
      <c r="E697" s="24"/>
      <c r="F697" s="24"/>
      <c r="G697" s="24"/>
      <c r="H697" s="48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0" customHeight="1">
      <c r="A698" s="68"/>
      <c r="B698" s="24"/>
      <c r="C698" s="24"/>
      <c r="D698" s="24"/>
      <c r="E698" s="24"/>
      <c r="F698" s="24"/>
      <c r="G698" s="24"/>
      <c r="H698" s="48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0" customHeight="1">
      <c r="A699" s="68"/>
      <c r="B699" s="24"/>
      <c r="C699" s="24"/>
      <c r="D699" s="24"/>
      <c r="E699" s="24"/>
      <c r="F699" s="24"/>
      <c r="G699" s="24"/>
      <c r="H699" s="48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0" customHeight="1">
      <c r="A700" s="68"/>
      <c r="B700" s="24"/>
      <c r="C700" s="24"/>
      <c r="D700" s="24"/>
      <c r="E700" s="24"/>
      <c r="F700" s="24"/>
      <c r="G700" s="24"/>
      <c r="H700" s="48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0" customHeight="1">
      <c r="A701" s="68"/>
      <c r="B701" s="24"/>
      <c r="C701" s="24"/>
      <c r="D701" s="24"/>
      <c r="E701" s="24"/>
      <c r="F701" s="24"/>
      <c r="G701" s="24"/>
      <c r="H701" s="48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0" customHeight="1">
      <c r="A702" s="68"/>
      <c r="B702" s="24"/>
      <c r="C702" s="24"/>
      <c r="D702" s="24"/>
      <c r="E702" s="24"/>
      <c r="F702" s="24"/>
      <c r="G702" s="24"/>
      <c r="H702" s="48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0" customHeight="1">
      <c r="A703" s="68"/>
      <c r="B703" s="24"/>
      <c r="C703" s="24"/>
      <c r="D703" s="24"/>
      <c r="E703" s="24"/>
      <c r="F703" s="24"/>
      <c r="G703" s="24"/>
      <c r="H703" s="48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0" customHeight="1">
      <c r="A704" s="68"/>
      <c r="B704" s="24"/>
      <c r="C704" s="24"/>
      <c r="D704" s="24"/>
      <c r="E704" s="24"/>
      <c r="F704" s="24"/>
      <c r="G704" s="24"/>
      <c r="H704" s="48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0" customHeight="1">
      <c r="A705" s="68"/>
      <c r="B705" s="24"/>
      <c r="C705" s="24"/>
      <c r="D705" s="24"/>
      <c r="E705" s="24"/>
      <c r="F705" s="24"/>
      <c r="G705" s="24"/>
      <c r="H705" s="48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0" customHeight="1">
      <c r="A706" s="68"/>
      <c r="B706" s="24"/>
      <c r="C706" s="24"/>
      <c r="D706" s="24"/>
      <c r="E706" s="24"/>
      <c r="F706" s="24"/>
      <c r="G706" s="24"/>
      <c r="H706" s="48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0" customHeight="1">
      <c r="A707" s="68"/>
      <c r="B707" s="24"/>
      <c r="C707" s="24"/>
      <c r="D707" s="24"/>
      <c r="E707" s="24"/>
      <c r="F707" s="24"/>
      <c r="G707" s="24"/>
      <c r="H707" s="48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0" customHeight="1">
      <c r="A708" s="68"/>
      <c r="B708" s="24"/>
      <c r="C708" s="24"/>
      <c r="D708" s="24"/>
      <c r="E708" s="24"/>
      <c r="F708" s="24"/>
      <c r="G708" s="24"/>
      <c r="H708" s="48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0" customHeight="1">
      <c r="A709" s="68"/>
      <c r="B709" s="24"/>
      <c r="C709" s="24"/>
      <c r="D709" s="24"/>
      <c r="E709" s="24"/>
      <c r="F709" s="24"/>
      <c r="G709" s="24"/>
      <c r="H709" s="48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0" customHeight="1">
      <c r="A710" s="68"/>
      <c r="B710" s="24"/>
      <c r="C710" s="24"/>
      <c r="D710" s="24"/>
      <c r="E710" s="24"/>
      <c r="F710" s="24"/>
      <c r="G710" s="24"/>
      <c r="H710" s="48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0" customHeight="1">
      <c r="A711" s="68"/>
      <c r="B711" s="24"/>
      <c r="C711" s="24"/>
      <c r="D711" s="24"/>
      <c r="E711" s="24"/>
      <c r="F711" s="24"/>
      <c r="G711" s="24"/>
      <c r="H711" s="48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0" customHeight="1">
      <c r="A712" s="68"/>
      <c r="B712" s="24"/>
      <c r="C712" s="24"/>
      <c r="D712" s="24"/>
      <c r="E712" s="24"/>
      <c r="F712" s="24"/>
      <c r="G712" s="24"/>
      <c r="H712" s="48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0" customHeight="1">
      <c r="A713" s="68"/>
      <c r="B713" s="24"/>
      <c r="C713" s="24"/>
      <c r="D713" s="24"/>
      <c r="E713" s="24"/>
      <c r="F713" s="24"/>
      <c r="G713" s="24"/>
      <c r="H713" s="48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0" customHeight="1">
      <c r="A714" s="68"/>
      <c r="B714" s="24"/>
      <c r="C714" s="24"/>
      <c r="D714" s="24"/>
      <c r="E714" s="24"/>
      <c r="F714" s="24"/>
      <c r="G714" s="24"/>
      <c r="H714" s="48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0" customHeight="1">
      <c r="A715" s="68"/>
      <c r="B715" s="24"/>
      <c r="C715" s="24"/>
      <c r="D715" s="24"/>
      <c r="E715" s="24"/>
      <c r="F715" s="24"/>
      <c r="G715" s="24"/>
      <c r="H715" s="48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0" customHeight="1">
      <c r="A716" s="68"/>
      <c r="B716" s="24"/>
      <c r="C716" s="24"/>
      <c r="D716" s="24"/>
      <c r="E716" s="24"/>
      <c r="F716" s="24"/>
      <c r="G716" s="24"/>
      <c r="H716" s="48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0" customHeight="1">
      <c r="A717" s="68"/>
      <c r="B717" s="24"/>
      <c r="C717" s="24"/>
      <c r="D717" s="24"/>
      <c r="E717" s="24"/>
      <c r="F717" s="24"/>
      <c r="G717" s="24"/>
      <c r="H717" s="48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0" customHeight="1">
      <c r="A718" s="68"/>
      <c r="B718" s="24"/>
      <c r="C718" s="24"/>
      <c r="D718" s="24"/>
      <c r="E718" s="24"/>
      <c r="F718" s="24"/>
      <c r="G718" s="24"/>
      <c r="H718" s="48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0" customHeight="1">
      <c r="A719" s="68"/>
      <c r="B719" s="24"/>
      <c r="C719" s="24"/>
      <c r="D719" s="24"/>
      <c r="E719" s="24"/>
      <c r="F719" s="24"/>
      <c r="G719" s="24"/>
      <c r="H719" s="48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0" customHeight="1">
      <c r="A720" s="68"/>
      <c r="B720" s="24"/>
      <c r="C720" s="24"/>
      <c r="D720" s="24"/>
      <c r="E720" s="24"/>
      <c r="F720" s="24"/>
      <c r="G720" s="24"/>
      <c r="H720" s="48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0" customHeight="1">
      <c r="A721" s="68"/>
      <c r="B721" s="24"/>
      <c r="C721" s="24"/>
      <c r="D721" s="24"/>
      <c r="E721" s="24"/>
      <c r="F721" s="24"/>
      <c r="G721" s="24"/>
      <c r="H721" s="48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0" customHeight="1">
      <c r="A722" s="68"/>
      <c r="B722" s="24"/>
      <c r="C722" s="24"/>
      <c r="D722" s="24"/>
      <c r="E722" s="24"/>
      <c r="F722" s="24"/>
      <c r="G722" s="24"/>
      <c r="H722" s="48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0" customHeight="1">
      <c r="A723" s="68"/>
      <c r="B723" s="24"/>
      <c r="C723" s="24"/>
      <c r="D723" s="24"/>
      <c r="E723" s="24"/>
      <c r="F723" s="24"/>
      <c r="G723" s="24"/>
      <c r="H723" s="48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0" customHeight="1">
      <c r="A724" s="68"/>
      <c r="B724" s="24"/>
      <c r="C724" s="24"/>
      <c r="D724" s="24"/>
      <c r="E724" s="24"/>
      <c r="F724" s="24"/>
      <c r="G724" s="24"/>
      <c r="H724" s="48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0" customHeight="1">
      <c r="A725" s="68"/>
      <c r="B725" s="24"/>
      <c r="C725" s="24"/>
      <c r="D725" s="24"/>
      <c r="E725" s="24"/>
      <c r="F725" s="24"/>
      <c r="G725" s="24"/>
      <c r="H725" s="48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0" customHeight="1">
      <c r="A726" s="68"/>
      <c r="B726" s="24"/>
      <c r="C726" s="24"/>
      <c r="D726" s="24"/>
      <c r="E726" s="24"/>
      <c r="F726" s="24"/>
      <c r="G726" s="24"/>
      <c r="H726" s="48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0" customHeight="1">
      <c r="A727" s="68"/>
      <c r="B727" s="24"/>
      <c r="C727" s="24"/>
      <c r="D727" s="24"/>
      <c r="E727" s="24"/>
      <c r="F727" s="24"/>
      <c r="G727" s="24"/>
      <c r="H727" s="48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0" customHeight="1">
      <c r="A728" s="68"/>
      <c r="B728" s="24"/>
      <c r="C728" s="24"/>
      <c r="D728" s="24"/>
      <c r="E728" s="24"/>
      <c r="F728" s="24"/>
      <c r="G728" s="24"/>
      <c r="H728" s="48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0" customHeight="1">
      <c r="A729" s="68"/>
      <c r="B729" s="24"/>
      <c r="C729" s="24"/>
      <c r="D729" s="24"/>
      <c r="E729" s="24"/>
      <c r="F729" s="24"/>
      <c r="G729" s="24"/>
      <c r="H729" s="48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0" customHeight="1">
      <c r="A730" s="68"/>
      <c r="B730" s="24"/>
      <c r="C730" s="24"/>
      <c r="D730" s="24"/>
      <c r="E730" s="24"/>
      <c r="F730" s="24"/>
      <c r="G730" s="24"/>
      <c r="H730" s="48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0" customHeight="1">
      <c r="A731" s="68"/>
      <c r="B731" s="24"/>
      <c r="C731" s="24"/>
      <c r="D731" s="24"/>
      <c r="E731" s="24"/>
      <c r="F731" s="24"/>
      <c r="G731" s="24"/>
      <c r="H731" s="48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0" customHeight="1">
      <c r="A732" s="68"/>
      <c r="B732" s="24"/>
      <c r="C732" s="24"/>
      <c r="D732" s="24"/>
      <c r="E732" s="24"/>
      <c r="F732" s="24"/>
      <c r="G732" s="24"/>
      <c r="H732" s="48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0" customHeight="1">
      <c r="A733" s="68"/>
      <c r="B733" s="24"/>
      <c r="C733" s="24"/>
      <c r="D733" s="24"/>
      <c r="E733" s="24"/>
      <c r="F733" s="24"/>
      <c r="G733" s="24"/>
      <c r="H733" s="48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0" customHeight="1">
      <c r="A734" s="68"/>
      <c r="B734" s="24"/>
      <c r="C734" s="24"/>
      <c r="D734" s="24"/>
      <c r="E734" s="24"/>
      <c r="F734" s="24"/>
      <c r="G734" s="24"/>
      <c r="H734" s="48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0" customHeight="1">
      <c r="A735" s="68"/>
      <c r="B735" s="24"/>
      <c r="C735" s="24"/>
      <c r="D735" s="24"/>
      <c r="E735" s="24"/>
      <c r="F735" s="24"/>
      <c r="G735" s="24"/>
      <c r="H735" s="48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0" customHeight="1">
      <c r="A736" s="68"/>
      <c r="B736" s="24"/>
      <c r="C736" s="24"/>
      <c r="D736" s="24"/>
      <c r="E736" s="24"/>
      <c r="F736" s="24"/>
      <c r="G736" s="24"/>
      <c r="H736" s="48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0" customHeight="1">
      <c r="A737" s="68"/>
      <c r="B737" s="24"/>
      <c r="C737" s="24"/>
      <c r="D737" s="24"/>
      <c r="E737" s="24"/>
      <c r="F737" s="24"/>
      <c r="G737" s="24"/>
      <c r="H737" s="48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0" customHeight="1">
      <c r="A738" s="68"/>
      <c r="B738" s="24"/>
      <c r="C738" s="24"/>
      <c r="D738" s="24"/>
      <c r="E738" s="24"/>
      <c r="F738" s="24"/>
      <c r="G738" s="24"/>
      <c r="H738" s="48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0" customHeight="1">
      <c r="A739" s="68"/>
      <c r="B739" s="24"/>
      <c r="C739" s="24"/>
      <c r="D739" s="24"/>
      <c r="E739" s="24"/>
      <c r="F739" s="24"/>
      <c r="G739" s="24"/>
      <c r="H739" s="48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0" customHeight="1">
      <c r="A740" s="68"/>
      <c r="B740" s="24"/>
      <c r="C740" s="24"/>
      <c r="D740" s="24"/>
      <c r="E740" s="24"/>
      <c r="F740" s="24"/>
      <c r="G740" s="24"/>
      <c r="H740" s="48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0" customHeight="1">
      <c r="A741" s="68"/>
      <c r="B741" s="24"/>
      <c r="C741" s="24"/>
      <c r="D741" s="24"/>
      <c r="E741" s="24"/>
      <c r="F741" s="24"/>
      <c r="G741" s="24"/>
      <c r="H741" s="48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0" customHeight="1">
      <c r="A742" s="68"/>
      <c r="B742" s="24"/>
      <c r="C742" s="24"/>
      <c r="D742" s="24"/>
      <c r="E742" s="24"/>
      <c r="F742" s="24"/>
      <c r="G742" s="24"/>
      <c r="H742" s="48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0" customHeight="1">
      <c r="A743" s="68"/>
      <c r="B743" s="24"/>
      <c r="C743" s="24"/>
      <c r="D743" s="24"/>
      <c r="E743" s="24"/>
      <c r="F743" s="24"/>
      <c r="G743" s="24"/>
      <c r="H743" s="48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0" customHeight="1">
      <c r="A744" s="68"/>
      <c r="B744" s="24"/>
      <c r="C744" s="24"/>
      <c r="D744" s="24"/>
      <c r="E744" s="24"/>
      <c r="F744" s="24"/>
      <c r="G744" s="24"/>
      <c r="H744" s="48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0" customHeight="1">
      <c r="A745" s="68"/>
      <c r="B745" s="24"/>
      <c r="C745" s="24"/>
      <c r="D745" s="24"/>
      <c r="E745" s="24"/>
      <c r="F745" s="24"/>
      <c r="G745" s="24"/>
      <c r="H745" s="48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0" customHeight="1">
      <c r="A746" s="68"/>
      <c r="B746" s="24"/>
      <c r="C746" s="24"/>
      <c r="D746" s="24"/>
      <c r="E746" s="24"/>
      <c r="F746" s="24"/>
      <c r="G746" s="24"/>
      <c r="H746" s="48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0" customHeight="1">
      <c r="A747" s="68"/>
      <c r="B747" s="24"/>
      <c r="C747" s="24"/>
      <c r="D747" s="24"/>
      <c r="E747" s="24"/>
      <c r="F747" s="24"/>
      <c r="G747" s="24"/>
      <c r="H747" s="48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0" customHeight="1">
      <c r="A748" s="68"/>
      <c r="B748" s="24"/>
      <c r="C748" s="24"/>
      <c r="D748" s="24"/>
      <c r="E748" s="24"/>
      <c r="F748" s="24"/>
      <c r="G748" s="24"/>
      <c r="H748" s="48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0" customHeight="1">
      <c r="A749" s="68"/>
      <c r="B749" s="24"/>
      <c r="C749" s="24"/>
      <c r="D749" s="24"/>
      <c r="E749" s="24"/>
      <c r="F749" s="24"/>
      <c r="G749" s="24"/>
      <c r="H749" s="48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0" customHeight="1">
      <c r="A750" s="68"/>
      <c r="B750" s="24"/>
      <c r="C750" s="24"/>
      <c r="D750" s="24"/>
      <c r="E750" s="24"/>
      <c r="F750" s="24"/>
      <c r="G750" s="24"/>
      <c r="H750" s="48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0" customHeight="1">
      <c r="A751" s="68"/>
      <c r="B751" s="24"/>
      <c r="C751" s="24"/>
      <c r="D751" s="24"/>
      <c r="E751" s="24"/>
      <c r="F751" s="24"/>
      <c r="G751" s="24"/>
      <c r="H751" s="48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0" customHeight="1">
      <c r="A752" s="68"/>
      <c r="B752" s="24"/>
      <c r="C752" s="24"/>
      <c r="D752" s="24"/>
      <c r="E752" s="24"/>
      <c r="F752" s="24"/>
      <c r="G752" s="24"/>
      <c r="H752" s="48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0" customHeight="1">
      <c r="A753" s="68"/>
      <c r="B753" s="24"/>
      <c r="C753" s="24"/>
      <c r="D753" s="24"/>
      <c r="E753" s="24"/>
      <c r="F753" s="24"/>
      <c r="G753" s="24"/>
      <c r="H753" s="48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0" customHeight="1">
      <c r="A754" s="68"/>
      <c r="B754" s="24"/>
      <c r="C754" s="24"/>
      <c r="D754" s="24"/>
      <c r="E754" s="24"/>
      <c r="F754" s="24"/>
      <c r="G754" s="24"/>
      <c r="H754" s="48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0" customHeight="1">
      <c r="A755" s="68"/>
      <c r="B755" s="24"/>
      <c r="C755" s="24"/>
      <c r="D755" s="24"/>
      <c r="E755" s="24"/>
      <c r="F755" s="24"/>
      <c r="G755" s="24"/>
      <c r="H755" s="48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0" customHeight="1">
      <c r="A756" s="68"/>
      <c r="B756" s="24"/>
      <c r="C756" s="24"/>
      <c r="D756" s="24"/>
      <c r="E756" s="24"/>
      <c r="F756" s="24"/>
      <c r="G756" s="24"/>
      <c r="H756" s="48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0" customHeight="1">
      <c r="A757" s="68"/>
      <c r="B757" s="24"/>
      <c r="C757" s="24"/>
      <c r="D757" s="24"/>
      <c r="E757" s="24"/>
      <c r="F757" s="24"/>
      <c r="G757" s="24"/>
      <c r="H757" s="48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0" customHeight="1">
      <c r="A758" s="68"/>
      <c r="B758" s="24"/>
      <c r="C758" s="24"/>
      <c r="D758" s="24"/>
      <c r="E758" s="24"/>
      <c r="F758" s="24"/>
      <c r="G758" s="24"/>
      <c r="H758" s="48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0" customHeight="1">
      <c r="A759" s="68"/>
      <c r="B759" s="24"/>
      <c r="C759" s="24"/>
      <c r="D759" s="24"/>
      <c r="E759" s="24"/>
      <c r="F759" s="24"/>
      <c r="G759" s="24"/>
      <c r="H759" s="48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0" customHeight="1">
      <c r="A760" s="68"/>
      <c r="B760" s="24"/>
      <c r="C760" s="24"/>
      <c r="D760" s="24"/>
      <c r="E760" s="24"/>
      <c r="F760" s="24"/>
      <c r="G760" s="24"/>
      <c r="H760" s="48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0" customHeight="1">
      <c r="A761" s="68"/>
      <c r="B761" s="24"/>
      <c r="C761" s="24"/>
      <c r="D761" s="24"/>
      <c r="E761" s="24"/>
      <c r="F761" s="24"/>
      <c r="G761" s="24"/>
      <c r="H761" s="48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0" customHeight="1">
      <c r="A762" s="68"/>
      <c r="B762" s="24"/>
      <c r="C762" s="24"/>
      <c r="D762" s="24"/>
      <c r="E762" s="24"/>
      <c r="F762" s="24"/>
      <c r="G762" s="24"/>
      <c r="H762" s="48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0" customHeight="1">
      <c r="A763" s="68"/>
      <c r="B763" s="24"/>
      <c r="C763" s="24"/>
      <c r="D763" s="24"/>
      <c r="E763" s="24"/>
      <c r="F763" s="24"/>
      <c r="G763" s="24"/>
      <c r="H763" s="48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0" customHeight="1">
      <c r="A764" s="68"/>
      <c r="B764" s="24"/>
      <c r="C764" s="24"/>
      <c r="D764" s="24"/>
      <c r="E764" s="24"/>
      <c r="F764" s="24"/>
      <c r="G764" s="24"/>
      <c r="H764" s="48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0" customHeight="1">
      <c r="A765" s="68"/>
      <c r="B765" s="24"/>
      <c r="C765" s="24"/>
      <c r="D765" s="24"/>
      <c r="E765" s="24"/>
      <c r="F765" s="24"/>
      <c r="G765" s="24"/>
      <c r="H765" s="48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0" customHeight="1">
      <c r="A766" s="68"/>
      <c r="B766" s="24"/>
      <c r="C766" s="24"/>
      <c r="D766" s="24"/>
      <c r="E766" s="24"/>
      <c r="F766" s="24"/>
      <c r="G766" s="24"/>
      <c r="H766" s="48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0" customHeight="1">
      <c r="A767" s="68"/>
      <c r="B767" s="24"/>
      <c r="C767" s="24"/>
      <c r="D767" s="24"/>
      <c r="E767" s="24"/>
      <c r="F767" s="24"/>
      <c r="G767" s="24"/>
      <c r="H767" s="48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0" customHeight="1">
      <c r="A768" s="68"/>
      <c r="B768" s="24"/>
      <c r="C768" s="24"/>
      <c r="D768" s="24"/>
      <c r="E768" s="24"/>
      <c r="F768" s="24"/>
      <c r="G768" s="24"/>
      <c r="H768" s="48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0" customHeight="1">
      <c r="A769" s="68"/>
      <c r="B769" s="24"/>
      <c r="C769" s="24"/>
      <c r="D769" s="24"/>
      <c r="E769" s="24"/>
      <c r="F769" s="24"/>
      <c r="G769" s="24"/>
      <c r="H769" s="48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0" customHeight="1">
      <c r="A770" s="68"/>
      <c r="B770" s="24"/>
      <c r="C770" s="24"/>
      <c r="D770" s="24"/>
      <c r="E770" s="24"/>
      <c r="F770" s="24"/>
      <c r="G770" s="24"/>
      <c r="H770" s="48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0" customHeight="1">
      <c r="A771" s="68"/>
      <c r="B771" s="24"/>
      <c r="C771" s="24"/>
      <c r="D771" s="24"/>
      <c r="E771" s="24"/>
      <c r="F771" s="24"/>
      <c r="G771" s="24"/>
      <c r="H771" s="48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0" customHeight="1">
      <c r="A772" s="68"/>
      <c r="B772" s="24"/>
      <c r="C772" s="24"/>
      <c r="D772" s="24"/>
      <c r="E772" s="24"/>
      <c r="F772" s="24"/>
      <c r="G772" s="24"/>
      <c r="H772" s="48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0" customHeight="1">
      <c r="A773" s="68"/>
      <c r="B773" s="24"/>
      <c r="C773" s="24"/>
      <c r="D773" s="24"/>
      <c r="E773" s="24"/>
      <c r="F773" s="24"/>
      <c r="G773" s="24"/>
      <c r="H773" s="48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0" customHeight="1">
      <c r="A774" s="68"/>
      <c r="B774" s="24"/>
      <c r="C774" s="24"/>
      <c r="D774" s="24"/>
      <c r="E774" s="24"/>
      <c r="F774" s="24"/>
      <c r="G774" s="24"/>
      <c r="H774" s="48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0" customHeight="1">
      <c r="A775" s="68"/>
      <c r="B775" s="24"/>
      <c r="C775" s="24"/>
      <c r="D775" s="24"/>
      <c r="E775" s="24"/>
      <c r="F775" s="24"/>
      <c r="G775" s="24"/>
      <c r="H775" s="48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0" customHeight="1">
      <c r="A776" s="68"/>
      <c r="B776" s="24"/>
      <c r="C776" s="24"/>
      <c r="D776" s="24"/>
      <c r="E776" s="24"/>
      <c r="F776" s="24"/>
      <c r="G776" s="24"/>
      <c r="H776" s="48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0" customHeight="1">
      <c r="A777" s="68"/>
      <c r="B777" s="24"/>
      <c r="C777" s="24"/>
      <c r="D777" s="24"/>
      <c r="E777" s="24"/>
      <c r="F777" s="24"/>
      <c r="G777" s="24"/>
      <c r="H777" s="48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0" customHeight="1">
      <c r="A778" s="68"/>
      <c r="B778" s="24"/>
      <c r="C778" s="24"/>
      <c r="D778" s="24"/>
      <c r="E778" s="24"/>
      <c r="F778" s="24"/>
      <c r="G778" s="24"/>
      <c r="H778" s="48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0" customHeight="1">
      <c r="A779" s="68"/>
      <c r="B779" s="24"/>
      <c r="C779" s="24"/>
      <c r="D779" s="24"/>
      <c r="E779" s="24"/>
      <c r="F779" s="24"/>
      <c r="G779" s="24"/>
      <c r="H779" s="48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0" customHeight="1">
      <c r="A780" s="68"/>
      <c r="B780" s="24"/>
      <c r="C780" s="24"/>
      <c r="D780" s="24"/>
      <c r="E780" s="24"/>
      <c r="F780" s="24"/>
      <c r="G780" s="24"/>
      <c r="H780" s="48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0" customHeight="1">
      <c r="A781" s="68"/>
      <c r="B781" s="24"/>
      <c r="C781" s="24"/>
      <c r="D781" s="24"/>
      <c r="E781" s="24"/>
      <c r="F781" s="24"/>
      <c r="G781" s="24"/>
      <c r="H781" s="48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0" customHeight="1">
      <c r="A782" s="68"/>
      <c r="B782" s="24"/>
      <c r="C782" s="24"/>
      <c r="D782" s="24"/>
      <c r="E782" s="24"/>
      <c r="F782" s="24"/>
      <c r="G782" s="24"/>
      <c r="H782" s="48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0" customHeight="1">
      <c r="A783" s="68"/>
      <c r="B783" s="24"/>
      <c r="C783" s="24"/>
      <c r="D783" s="24"/>
      <c r="E783" s="24"/>
      <c r="F783" s="24"/>
      <c r="G783" s="24"/>
      <c r="H783" s="48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0" customHeight="1">
      <c r="A784" s="68"/>
      <c r="B784" s="24"/>
      <c r="C784" s="24"/>
      <c r="D784" s="24"/>
      <c r="E784" s="24"/>
      <c r="F784" s="24"/>
      <c r="G784" s="24"/>
      <c r="H784" s="48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0" customHeight="1">
      <c r="A785" s="68"/>
      <c r="B785" s="24"/>
      <c r="C785" s="24"/>
      <c r="D785" s="24"/>
      <c r="E785" s="24"/>
      <c r="F785" s="24"/>
      <c r="G785" s="24"/>
      <c r="H785" s="48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0" customHeight="1">
      <c r="A786" s="68"/>
      <c r="B786" s="24"/>
      <c r="C786" s="24"/>
      <c r="D786" s="24"/>
      <c r="E786" s="24"/>
      <c r="F786" s="24"/>
      <c r="G786" s="24"/>
      <c r="H786" s="48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0" customHeight="1">
      <c r="A787" s="68"/>
      <c r="B787" s="24"/>
      <c r="C787" s="24"/>
      <c r="D787" s="24"/>
      <c r="E787" s="24"/>
      <c r="F787" s="24"/>
      <c r="G787" s="24"/>
      <c r="H787" s="48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0" customHeight="1">
      <c r="A788" s="68"/>
      <c r="B788" s="24"/>
      <c r="C788" s="24"/>
      <c r="D788" s="24"/>
      <c r="E788" s="24"/>
      <c r="F788" s="24"/>
      <c r="G788" s="24"/>
      <c r="H788" s="48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0" customHeight="1">
      <c r="A789" s="68"/>
      <c r="B789" s="24"/>
      <c r="C789" s="24"/>
      <c r="D789" s="24"/>
      <c r="E789" s="24"/>
      <c r="F789" s="24"/>
      <c r="G789" s="24"/>
      <c r="H789" s="48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0" customHeight="1">
      <c r="A790" s="68"/>
      <c r="B790" s="24"/>
      <c r="C790" s="24"/>
      <c r="D790" s="24"/>
      <c r="E790" s="24"/>
      <c r="F790" s="24"/>
      <c r="G790" s="24"/>
      <c r="H790" s="48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0" customHeight="1">
      <c r="A791" s="68"/>
      <c r="B791" s="24"/>
      <c r="C791" s="24"/>
      <c r="D791" s="24"/>
      <c r="E791" s="24"/>
      <c r="F791" s="24"/>
      <c r="G791" s="24"/>
      <c r="H791" s="48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0" customHeight="1">
      <c r="A792" s="68"/>
      <c r="B792" s="24"/>
      <c r="C792" s="24"/>
      <c r="D792" s="24"/>
      <c r="E792" s="24"/>
      <c r="F792" s="24"/>
      <c r="G792" s="24"/>
      <c r="H792" s="48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0" customHeight="1">
      <c r="A793" s="68"/>
      <c r="B793" s="24"/>
      <c r="C793" s="24"/>
      <c r="D793" s="24"/>
      <c r="E793" s="24"/>
      <c r="F793" s="24"/>
      <c r="G793" s="24"/>
      <c r="H793" s="48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0" customHeight="1">
      <c r="A794" s="68"/>
      <c r="B794" s="24"/>
      <c r="C794" s="24"/>
      <c r="D794" s="24"/>
      <c r="E794" s="24"/>
      <c r="F794" s="24"/>
      <c r="G794" s="24"/>
      <c r="H794" s="48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0" customHeight="1">
      <c r="A795" s="68"/>
      <c r="B795" s="24"/>
      <c r="C795" s="24"/>
      <c r="D795" s="24"/>
      <c r="E795" s="24"/>
      <c r="F795" s="24"/>
      <c r="G795" s="24"/>
      <c r="H795" s="48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0" customHeight="1">
      <c r="A796" s="68"/>
      <c r="B796" s="24"/>
      <c r="C796" s="24"/>
      <c r="D796" s="24"/>
      <c r="E796" s="24"/>
      <c r="F796" s="24"/>
      <c r="G796" s="24"/>
      <c r="H796" s="48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0" customHeight="1">
      <c r="A797" s="68"/>
      <c r="B797" s="24"/>
      <c r="C797" s="24"/>
      <c r="D797" s="24"/>
      <c r="E797" s="24"/>
      <c r="F797" s="24"/>
      <c r="G797" s="24"/>
      <c r="H797" s="48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0" customHeight="1">
      <c r="A798" s="68"/>
      <c r="B798" s="24"/>
      <c r="C798" s="24"/>
      <c r="D798" s="24"/>
      <c r="E798" s="24"/>
      <c r="F798" s="24"/>
      <c r="G798" s="24"/>
      <c r="H798" s="48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0" customHeight="1">
      <c r="A799" s="68"/>
      <c r="B799" s="24"/>
      <c r="C799" s="24"/>
      <c r="D799" s="24"/>
      <c r="E799" s="24"/>
      <c r="F799" s="24"/>
      <c r="G799" s="24"/>
      <c r="H799" s="48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0" customHeight="1">
      <c r="A800" s="68"/>
      <c r="B800" s="24"/>
      <c r="C800" s="24"/>
      <c r="D800" s="24"/>
      <c r="E800" s="24"/>
      <c r="F800" s="24"/>
      <c r="G800" s="24"/>
      <c r="H800" s="48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0" customHeight="1">
      <c r="A801" s="68"/>
      <c r="B801" s="24"/>
      <c r="C801" s="24"/>
      <c r="D801" s="24"/>
      <c r="E801" s="24"/>
      <c r="F801" s="24"/>
      <c r="G801" s="24"/>
      <c r="H801" s="48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0" customHeight="1">
      <c r="A802" s="68"/>
      <c r="B802" s="24"/>
      <c r="C802" s="24"/>
      <c r="D802" s="24"/>
      <c r="E802" s="24"/>
      <c r="F802" s="24"/>
      <c r="G802" s="24"/>
      <c r="H802" s="48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0" customHeight="1">
      <c r="A803" s="68"/>
      <c r="B803" s="24"/>
      <c r="C803" s="24"/>
      <c r="D803" s="24"/>
      <c r="E803" s="24"/>
      <c r="F803" s="24"/>
      <c r="G803" s="24"/>
      <c r="H803" s="48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0" customHeight="1">
      <c r="A804" s="68"/>
      <c r="B804" s="24"/>
      <c r="C804" s="24"/>
      <c r="D804" s="24"/>
      <c r="E804" s="24"/>
      <c r="F804" s="24"/>
      <c r="G804" s="24"/>
      <c r="H804" s="48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0" customHeight="1">
      <c r="A805" s="68"/>
      <c r="B805" s="24"/>
      <c r="C805" s="24"/>
      <c r="D805" s="24"/>
      <c r="E805" s="24"/>
      <c r="F805" s="24"/>
      <c r="G805" s="24"/>
      <c r="H805" s="48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0" customHeight="1">
      <c r="A806" s="68"/>
      <c r="B806" s="24"/>
      <c r="C806" s="24"/>
      <c r="D806" s="24"/>
      <c r="E806" s="24"/>
      <c r="F806" s="24"/>
      <c r="G806" s="24"/>
      <c r="H806" s="48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0" customHeight="1">
      <c r="A807" s="68"/>
      <c r="B807" s="24"/>
      <c r="C807" s="24"/>
      <c r="D807" s="24"/>
      <c r="E807" s="24"/>
      <c r="F807" s="24"/>
      <c r="G807" s="24"/>
      <c r="H807" s="48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0" customHeight="1">
      <c r="A808" s="68"/>
      <c r="B808" s="24"/>
      <c r="C808" s="24"/>
      <c r="D808" s="24"/>
      <c r="E808" s="24"/>
      <c r="F808" s="24"/>
      <c r="G808" s="24"/>
      <c r="H808" s="48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0" customHeight="1">
      <c r="A809" s="68"/>
      <c r="B809" s="24"/>
      <c r="C809" s="24"/>
      <c r="D809" s="24"/>
      <c r="E809" s="24"/>
      <c r="F809" s="24"/>
      <c r="G809" s="24"/>
      <c r="H809" s="48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0" customHeight="1">
      <c r="A810" s="68"/>
      <c r="B810" s="24"/>
      <c r="C810" s="24"/>
      <c r="D810" s="24"/>
      <c r="E810" s="24"/>
      <c r="F810" s="24"/>
      <c r="G810" s="24"/>
      <c r="H810" s="48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0" customHeight="1">
      <c r="A811" s="68"/>
      <c r="B811" s="24"/>
      <c r="C811" s="24"/>
      <c r="D811" s="24"/>
      <c r="E811" s="24"/>
      <c r="F811" s="24"/>
      <c r="G811" s="24"/>
      <c r="H811" s="48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0" customHeight="1">
      <c r="A812" s="68"/>
      <c r="B812" s="24"/>
      <c r="C812" s="24"/>
      <c r="D812" s="24"/>
      <c r="E812" s="24"/>
      <c r="F812" s="24"/>
      <c r="G812" s="24"/>
      <c r="H812" s="48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0" customHeight="1">
      <c r="A813" s="68"/>
      <c r="B813" s="24"/>
      <c r="C813" s="24"/>
      <c r="D813" s="24"/>
      <c r="E813" s="24"/>
      <c r="F813" s="24"/>
      <c r="G813" s="24"/>
      <c r="H813" s="48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0" customHeight="1">
      <c r="A814" s="68"/>
      <c r="B814" s="24"/>
      <c r="C814" s="24"/>
      <c r="D814" s="24"/>
      <c r="E814" s="24"/>
      <c r="F814" s="24"/>
      <c r="G814" s="24"/>
      <c r="H814" s="48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0" customHeight="1">
      <c r="A815" s="68"/>
      <c r="B815" s="24"/>
      <c r="C815" s="24"/>
      <c r="D815" s="24"/>
      <c r="E815" s="24"/>
      <c r="F815" s="24"/>
      <c r="G815" s="24"/>
      <c r="H815" s="48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0" customHeight="1">
      <c r="A816" s="68"/>
      <c r="B816" s="24"/>
      <c r="C816" s="24"/>
      <c r="D816" s="24"/>
      <c r="E816" s="24"/>
      <c r="F816" s="24"/>
      <c r="G816" s="24"/>
      <c r="H816" s="48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0" customHeight="1">
      <c r="A817" s="68"/>
      <c r="B817" s="24"/>
      <c r="C817" s="24"/>
      <c r="D817" s="24"/>
      <c r="E817" s="24"/>
      <c r="F817" s="24"/>
      <c r="G817" s="24"/>
      <c r="H817" s="48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0" customHeight="1">
      <c r="A818" s="68"/>
      <c r="B818" s="24"/>
      <c r="C818" s="24"/>
      <c r="D818" s="24"/>
      <c r="E818" s="24"/>
      <c r="F818" s="24"/>
      <c r="G818" s="24"/>
      <c r="H818" s="48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0" customHeight="1">
      <c r="A819" s="68"/>
      <c r="B819" s="24"/>
      <c r="C819" s="24"/>
      <c r="D819" s="24"/>
      <c r="E819" s="24"/>
      <c r="F819" s="24"/>
      <c r="G819" s="24"/>
      <c r="H819" s="48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0" customHeight="1">
      <c r="A820" s="68"/>
      <c r="B820" s="24"/>
      <c r="C820" s="24"/>
      <c r="D820" s="24"/>
      <c r="E820" s="24"/>
      <c r="F820" s="24"/>
      <c r="G820" s="24"/>
      <c r="H820" s="48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0" customHeight="1">
      <c r="A821" s="68"/>
      <c r="B821" s="24"/>
      <c r="C821" s="24"/>
      <c r="D821" s="24"/>
      <c r="E821" s="24"/>
      <c r="F821" s="24"/>
      <c r="G821" s="24"/>
      <c r="H821" s="48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0" customHeight="1">
      <c r="A822" s="68"/>
      <c r="B822" s="24"/>
      <c r="C822" s="24"/>
      <c r="D822" s="24"/>
      <c r="E822" s="24"/>
      <c r="F822" s="24"/>
      <c r="G822" s="24"/>
      <c r="H822" s="48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0" customHeight="1">
      <c r="A823" s="68"/>
      <c r="B823" s="24"/>
      <c r="C823" s="24"/>
      <c r="D823" s="24"/>
      <c r="E823" s="24"/>
      <c r="F823" s="24"/>
      <c r="G823" s="24"/>
      <c r="H823" s="48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0" customHeight="1">
      <c r="A824" s="68"/>
      <c r="B824" s="24"/>
      <c r="C824" s="24"/>
      <c r="D824" s="24"/>
      <c r="E824" s="24"/>
      <c r="F824" s="24"/>
      <c r="G824" s="24"/>
      <c r="H824" s="48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0" customHeight="1">
      <c r="A825" s="68"/>
      <c r="B825" s="24"/>
      <c r="C825" s="24"/>
      <c r="D825" s="24"/>
      <c r="E825" s="24"/>
      <c r="F825" s="24"/>
      <c r="G825" s="24"/>
      <c r="H825" s="48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0" customHeight="1">
      <c r="A826" s="68"/>
      <c r="B826" s="24"/>
      <c r="C826" s="24"/>
      <c r="D826" s="24"/>
      <c r="E826" s="24"/>
      <c r="F826" s="24"/>
      <c r="G826" s="24"/>
      <c r="H826" s="48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0" customHeight="1">
      <c r="A827" s="68"/>
      <c r="B827" s="24"/>
      <c r="C827" s="24"/>
      <c r="D827" s="24"/>
      <c r="E827" s="24"/>
      <c r="F827" s="24"/>
      <c r="G827" s="24"/>
      <c r="H827" s="48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0" customHeight="1">
      <c r="A828" s="68"/>
      <c r="B828" s="24"/>
      <c r="C828" s="24"/>
      <c r="D828" s="24"/>
      <c r="E828" s="24"/>
      <c r="F828" s="24"/>
      <c r="G828" s="24"/>
      <c r="H828" s="48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0" customHeight="1">
      <c r="A829" s="68"/>
      <c r="B829" s="24"/>
      <c r="C829" s="24"/>
      <c r="D829" s="24"/>
      <c r="E829" s="24"/>
      <c r="F829" s="24"/>
      <c r="G829" s="24"/>
      <c r="H829" s="48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0" customHeight="1">
      <c r="A830" s="68"/>
      <c r="B830" s="24"/>
      <c r="C830" s="24"/>
      <c r="D830" s="24"/>
      <c r="E830" s="24"/>
      <c r="F830" s="24"/>
      <c r="G830" s="24"/>
      <c r="H830" s="48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0" customHeight="1">
      <c r="A831" s="68"/>
      <c r="B831" s="24"/>
      <c r="C831" s="24"/>
      <c r="D831" s="24"/>
      <c r="E831" s="24"/>
      <c r="F831" s="24"/>
      <c r="G831" s="24"/>
      <c r="H831" s="48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0" customHeight="1">
      <c r="A832" s="68"/>
      <c r="B832" s="24"/>
      <c r="C832" s="24"/>
      <c r="D832" s="24"/>
      <c r="E832" s="24"/>
      <c r="F832" s="24"/>
      <c r="G832" s="24"/>
      <c r="H832" s="48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0" customHeight="1">
      <c r="A833" s="68"/>
      <c r="B833" s="24"/>
      <c r="C833" s="24"/>
      <c r="D833" s="24"/>
      <c r="E833" s="24"/>
      <c r="F833" s="24"/>
      <c r="G833" s="24"/>
      <c r="H833" s="48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0" customHeight="1">
      <c r="A834" s="68"/>
      <c r="B834" s="24"/>
      <c r="C834" s="24"/>
      <c r="D834" s="24"/>
      <c r="E834" s="24"/>
      <c r="F834" s="24"/>
      <c r="G834" s="24"/>
      <c r="H834" s="48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0" customHeight="1">
      <c r="A835" s="68"/>
      <c r="B835" s="24"/>
      <c r="C835" s="24"/>
      <c r="D835" s="24"/>
      <c r="E835" s="24"/>
      <c r="F835" s="24"/>
      <c r="G835" s="24"/>
      <c r="H835" s="48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0" customHeight="1">
      <c r="A836" s="68"/>
      <c r="B836" s="24"/>
      <c r="C836" s="24"/>
      <c r="D836" s="24"/>
      <c r="E836" s="24"/>
      <c r="F836" s="24"/>
      <c r="G836" s="24"/>
      <c r="H836" s="48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0" customHeight="1">
      <c r="A837" s="68"/>
      <c r="B837" s="24"/>
      <c r="C837" s="24"/>
      <c r="D837" s="24"/>
      <c r="E837" s="24"/>
      <c r="F837" s="24"/>
      <c r="G837" s="24"/>
      <c r="H837" s="48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0" customHeight="1">
      <c r="A838" s="68"/>
      <c r="B838" s="24"/>
      <c r="C838" s="24"/>
      <c r="D838" s="24"/>
      <c r="E838" s="24"/>
      <c r="F838" s="24"/>
      <c r="G838" s="24"/>
      <c r="H838" s="48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0" customHeight="1">
      <c r="A839" s="68"/>
      <c r="B839" s="24"/>
      <c r="C839" s="24"/>
      <c r="D839" s="24"/>
      <c r="E839" s="24"/>
      <c r="F839" s="24"/>
      <c r="G839" s="24"/>
      <c r="H839" s="48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0" customHeight="1">
      <c r="A840" s="68"/>
      <c r="B840" s="24"/>
      <c r="C840" s="24"/>
      <c r="D840" s="24"/>
      <c r="E840" s="24"/>
      <c r="F840" s="24"/>
      <c r="G840" s="24"/>
      <c r="H840" s="48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0" customHeight="1">
      <c r="A841" s="68"/>
      <c r="B841" s="24"/>
      <c r="C841" s="24"/>
      <c r="D841" s="24"/>
      <c r="E841" s="24"/>
      <c r="F841" s="24"/>
      <c r="G841" s="24"/>
      <c r="H841" s="48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0" customHeight="1">
      <c r="A842" s="68"/>
      <c r="B842" s="24"/>
      <c r="C842" s="24"/>
      <c r="D842" s="24"/>
      <c r="E842" s="24"/>
      <c r="F842" s="24"/>
      <c r="G842" s="24"/>
      <c r="H842" s="48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0" customHeight="1">
      <c r="A843" s="68"/>
      <c r="B843" s="24"/>
      <c r="C843" s="24"/>
      <c r="D843" s="24"/>
      <c r="E843" s="24"/>
      <c r="F843" s="24"/>
      <c r="G843" s="24"/>
      <c r="H843" s="48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0" customHeight="1">
      <c r="A844" s="68"/>
      <c r="B844" s="24"/>
      <c r="C844" s="24"/>
      <c r="D844" s="24"/>
      <c r="E844" s="24"/>
      <c r="F844" s="24"/>
      <c r="G844" s="24"/>
      <c r="H844" s="48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0" customHeight="1">
      <c r="A845" s="68"/>
      <c r="B845" s="24"/>
      <c r="C845" s="24"/>
      <c r="D845" s="24"/>
      <c r="E845" s="24"/>
      <c r="F845" s="24"/>
      <c r="G845" s="24"/>
      <c r="H845" s="48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0" customHeight="1">
      <c r="A846" s="68"/>
      <c r="B846" s="24"/>
      <c r="C846" s="24"/>
      <c r="D846" s="24"/>
      <c r="E846" s="24"/>
      <c r="F846" s="24"/>
      <c r="G846" s="24"/>
      <c r="H846" s="48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0" customHeight="1">
      <c r="A847" s="68"/>
      <c r="B847" s="24"/>
      <c r="C847" s="24"/>
      <c r="D847" s="24"/>
      <c r="E847" s="24"/>
      <c r="F847" s="24"/>
      <c r="G847" s="24"/>
      <c r="H847" s="48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0" customHeight="1">
      <c r="A848" s="68"/>
      <c r="B848" s="24"/>
      <c r="C848" s="24"/>
      <c r="D848" s="24"/>
      <c r="E848" s="24"/>
      <c r="F848" s="24"/>
      <c r="G848" s="24"/>
      <c r="H848" s="48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0" customHeight="1">
      <c r="A849" s="68"/>
      <c r="B849" s="24"/>
      <c r="C849" s="24"/>
      <c r="D849" s="24"/>
      <c r="E849" s="24"/>
      <c r="F849" s="24"/>
      <c r="G849" s="24"/>
      <c r="H849" s="48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0" customHeight="1">
      <c r="A850" s="68"/>
      <c r="B850" s="24"/>
      <c r="C850" s="24"/>
      <c r="D850" s="24"/>
      <c r="E850" s="24"/>
      <c r="F850" s="24"/>
      <c r="G850" s="24"/>
      <c r="H850" s="48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0" customHeight="1">
      <c r="A851" s="68"/>
      <c r="B851" s="24"/>
      <c r="C851" s="24"/>
      <c r="D851" s="24"/>
      <c r="E851" s="24"/>
      <c r="F851" s="24"/>
      <c r="G851" s="24"/>
      <c r="H851" s="48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0" customHeight="1">
      <c r="A852" s="68"/>
      <c r="B852" s="24"/>
      <c r="C852" s="24"/>
      <c r="D852" s="24"/>
      <c r="E852" s="24"/>
      <c r="F852" s="24"/>
      <c r="G852" s="24"/>
      <c r="H852" s="48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0" customHeight="1">
      <c r="A853" s="68"/>
      <c r="B853" s="24"/>
      <c r="C853" s="24"/>
      <c r="D853" s="24"/>
      <c r="E853" s="24"/>
      <c r="F853" s="24"/>
      <c r="G853" s="24"/>
      <c r="H853" s="48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0" customHeight="1">
      <c r="A854" s="68"/>
      <c r="B854" s="24"/>
      <c r="C854" s="24"/>
      <c r="D854" s="24"/>
      <c r="E854" s="24"/>
      <c r="F854" s="24"/>
      <c r="G854" s="24"/>
      <c r="H854" s="48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0" customHeight="1">
      <c r="A855" s="68"/>
      <c r="B855" s="24"/>
      <c r="C855" s="24"/>
      <c r="D855" s="24"/>
      <c r="E855" s="24"/>
      <c r="F855" s="24"/>
      <c r="G855" s="24"/>
      <c r="H855" s="48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0" customHeight="1">
      <c r="A856" s="68"/>
      <c r="B856" s="24"/>
      <c r="C856" s="24"/>
      <c r="D856" s="24"/>
      <c r="E856" s="24"/>
      <c r="F856" s="24"/>
      <c r="G856" s="24"/>
      <c r="H856" s="48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0" customHeight="1">
      <c r="A857" s="68"/>
      <c r="B857" s="24"/>
      <c r="C857" s="24"/>
      <c r="D857" s="24"/>
      <c r="E857" s="24"/>
      <c r="F857" s="24"/>
      <c r="G857" s="24"/>
      <c r="H857" s="48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0" customHeight="1">
      <c r="A858" s="68"/>
      <c r="B858" s="24"/>
      <c r="C858" s="24"/>
      <c r="D858" s="24"/>
      <c r="E858" s="24"/>
      <c r="F858" s="24"/>
      <c r="G858" s="24"/>
      <c r="H858" s="48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0" customHeight="1">
      <c r="A859" s="68"/>
      <c r="B859" s="24"/>
      <c r="C859" s="24"/>
      <c r="D859" s="24"/>
      <c r="E859" s="24"/>
      <c r="F859" s="24"/>
      <c r="G859" s="24"/>
      <c r="H859" s="48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0" customHeight="1">
      <c r="A860" s="68"/>
      <c r="B860" s="24"/>
      <c r="C860" s="24"/>
      <c r="D860" s="24"/>
      <c r="E860" s="24"/>
      <c r="F860" s="24"/>
      <c r="G860" s="24"/>
      <c r="H860" s="48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0" customHeight="1">
      <c r="A861" s="68"/>
      <c r="B861" s="24"/>
      <c r="C861" s="24"/>
      <c r="D861" s="24"/>
      <c r="E861" s="24"/>
      <c r="F861" s="24"/>
      <c r="G861" s="24"/>
      <c r="H861" s="48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0" customHeight="1">
      <c r="A862" s="68"/>
      <c r="B862" s="24"/>
      <c r="C862" s="24"/>
      <c r="D862" s="24"/>
      <c r="E862" s="24"/>
      <c r="F862" s="24"/>
      <c r="G862" s="24"/>
      <c r="H862" s="48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0" customHeight="1">
      <c r="A863" s="68"/>
      <c r="B863" s="24"/>
      <c r="C863" s="24"/>
      <c r="D863" s="24"/>
      <c r="E863" s="24"/>
      <c r="F863" s="24"/>
      <c r="G863" s="24"/>
      <c r="H863" s="48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0" customHeight="1">
      <c r="A864" s="68"/>
      <c r="B864" s="24"/>
      <c r="C864" s="24"/>
      <c r="D864" s="24"/>
      <c r="E864" s="24"/>
      <c r="F864" s="24"/>
      <c r="G864" s="24"/>
      <c r="H864" s="48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0" customHeight="1">
      <c r="A865" s="68"/>
      <c r="B865" s="24"/>
      <c r="C865" s="24"/>
      <c r="D865" s="24"/>
      <c r="E865" s="24"/>
      <c r="F865" s="24"/>
      <c r="G865" s="24"/>
      <c r="H865" s="48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0" customHeight="1">
      <c r="A866" s="68"/>
      <c r="B866" s="24"/>
      <c r="C866" s="24"/>
      <c r="D866" s="24"/>
      <c r="E866" s="24"/>
      <c r="F866" s="24"/>
      <c r="G866" s="24"/>
      <c r="H866" s="48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0" customHeight="1">
      <c r="A867" s="68"/>
      <c r="B867" s="24"/>
      <c r="C867" s="24"/>
      <c r="D867" s="24"/>
      <c r="E867" s="24"/>
      <c r="F867" s="24"/>
      <c r="G867" s="24"/>
      <c r="H867" s="48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0" customHeight="1">
      <c r="A868" s="68"/>
      <c r="B868" s="24"/>
      <c r="C868" s="24"/>
      <c r="D868" s="24"/>
      <c r="E868" s="24"/>
      <c r="F868" s="24"/>
      <c r="G868" s="24"/>
      <c r="H868" s="48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0" customHeight="1">
      <c r="A869" s="68"/>
      <c r="B869" s="24"/>
      <c r="C869" s="24"/>
      <c r="D869" s="24"/>
      <c r="E869" s="24"/>
      <c r="F869" s="24"/>
      <c r="G869" s="24"/>
      <c r="H869" s="48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0" customHeight="1">
      <c r="A870" s="68"/>
      <c r="B870" s="24"/>
      <c r="C870" s="24"/>
      <c r="D870" s="24"/>
      <c r="E870" s="24"/>
      <c r="F870" s="24"/>
      <c r="G870" s="24"/>
      <c r="H870" s="48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0" customHeight="1">
      <c r="A871" s="68"/>
      <c r="B871" s="24"/>
      <c r="C871" s="24"/>
      <c r="D871" s="24"/>
      <c r="E871" s="24"/>
      <c r="F871" s="24"/>
      <c r="G871" s="24"/>
      <c r="H871" s="48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0" customHeight="1">
      <c r="A872" s="68"/>
      <c r="B872" s="24"/>
      <c r="C872" s="24"/>
      <c r="D872" s="24"/>
      <c r="E872" s="24"/>
      <c r="F872" s="24"/>
      <c r="G872" s="24"/>
      <c r="H872" s="48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0" customHeight="1">
      <c r="A873" s="68"/>
      <c r="B873" s="24"/>
      <c r="C873" s="24"/>
      <c r="D873" s="24"/>
      <c r="E873" s="24"/>
      <c r="F873" s="24"/>
      <c r="G873" s="24"/>
      <c r="H873" s="48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0" customHeight="1">
      <c r="A874" s="68"/>
      <c r="B874" s="24"/>
      <c r="C874" s="24"/>
      <c r="D874" s="24"/>
      <c r="E874" s="24"/>
      <c r="F874" s="24"/>
      <c r="G874" s="24"/>
      <c r="H874" s="48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0" customHeight="1">
      <c r="A875" s="68"/>
      <c r="B875" s="24"/>
      <c r="C875" s="24"/>
      <c r="D875" s="24"/>
      <c r="E875" s="24"/>
      <c r="F875" s="24"/>
      <c r="G875" s="24"/>
      <c r="H875" s="48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0" customHeight="1">
      <c r="A876" s="68"/>
      <c r="B876" s="24"/>
      <c r="C876" s="24"/>
      <c r="D876" s="24"/>
      <c r="E876" s="24"/>
      <c r="F876" s="24"/>
      <c r="G876" s="24"/>
      <c r="H876" s="48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0" customHeight="1">
      <c r="A877" s="68"/>
      <c r="B877" s="24"/>
      <c r="C877" s="24"/>
      <c r="D877" s="24"/>
      <c r="E877" s="24"/>
      <c r="F877" s="24"/>
      <c r="G877" s="24"/>
      <c r="H877" s="48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0" customHeight="1">
      <c r="A878" s="68"/>
      <c r="B878" s="24"/>
      <c r="C878" s="24"/>
      <c r="D878" s="24"/>
      <c r="E878" s="24"/>
      <c r="F878" s="24"/>
      <c r="G878" s="24"/>
      <c r="H878" s="48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0" customHeight="1">
      <c r="A879" s="68"/>
      <c r="B879" s="24"/>
      <c r="C879" s="24"/>
      <c r="D879" s="24"/>
      <c r="E879" s="24"/>
      <c r="F879" s="24"/>
      <c r="G879" s="24"/>
      <c r="H879" s="48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0" customHeight="1">
      <c r="A880" s="68"/>
      <c r="B880" s="24"/>
      <c r="C880" s="24"/>
      <c r="D880" s="24"/>
      <c r="E880" s="24"/>
      <c r="F880" s="24"/>
      <c r="G880" s="24"/>
      <c r="H880" s="48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0" customHeight="1">
      <c r="A881" s="68"/>
      <c r="B881" s="24"/>
      <c r="C881" s="24"/>
      <c r="D881" s="24"/>
      <c r="E881" s="24"/>
      <c r="F881" s="24"/>
      <c r="G881" s="24"/>
      <c r="H881" s="48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0" customHeight="1">
      <c r="A882" s="68"/>
      <c r="B882" s="24"/>
      <c r="C882" s="24"/>
      <c r="D882" s="24"/>
      <c r="E882" s="24"/>
      <c r="F882" s="24"/>
      <c r="G882" s="24"/>
      <c r="H882" s="48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0" customHeight="1">
      <c r="A883" s="68"/>
      <c r="B883" s="24"/>
      <c r="C883" s="24"/>
      <c r="D883" s="24"/>
      <c r="E883" s="24"/>
      <c r="F883" s="24"/>
      <c r="G883" s="24"/>
      <c r="H883" s="48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0" customHeight="1">
      <c r="A884" s="68"/>
      <c r="B884" s="24"/>
      <c r="C884" s="24"/>
      <c r="D884" s="24"/>
      <c r="E884" s="24"/>
      <c r="F884" s="24"/>
      <c r="G884" s="24"/>
      <c r="H884" s="48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0" customHeight="1">
      <c r="A885" s="68"/>
      <c r="B885" s="24"/>
      <c r="C885" s="24"/>
      <c r="D885" s="24"/>
      <c r="E885" s="24"/>
      <c r="F885" s="24"/>
      <c r="G885" s="24"/>
      <c r="H885" s="48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0" customHeight="1">
      <c r="A886" s="68"/>
      <c r="B886" s="24"/>
      <c r="C886" s="24"/>
      <c r="D886" s="24"/>
      <c r="E886" s="24"/>
      <c r="F886" s="24"/>
      <c r="G886" s="24"/>
      <c r="H886" s="48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0" customHeight="1">
      <c r="A887" s="68"/>
      <c r="B887" s="24"/>
      <c r="C887" s="24"/>
      <c r="D887" s="24"/>
      <c r="E887" s="24"/>
      <c r="F887" s="24"/>
      <c r="G887" s="24"/>
      <c r="H887" s="48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0" customHeight="1">
      <c r="A888" s="68"/>
      <c r="B888" s="24"/>
      <c r="C888" s="24"/>
      <c r="D888" s="24"/>
      <c r="E888" s="24"/>
      <c r="F888" s="24"/>
      <c r="G888" s="24"/>
      <c r="H888" s="48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0" customHeight="1">
      <c r="A889" s="68"/>
      <c r="B889" s="24"/>
      <c r="C889" s="24"/>
      <c r="D889" s="24"/>
      <c r="E889" s="24"/>
      <c r="F889" s="24"/>
      <c r="G889" s="24"/>
      <c r="H889" s="48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0" customHeight="1">
      <c r="A890" s="68"/>
      <c r="B890" s="24"/>
      <c r="C890" s="24"/>
      <c r="D890" s="24"/>
      <c r="E890" s="24"/>
      <c r="F890" s="24"/>
      <c r="G890" s="24"/>
      <c r="H890" s="48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0" customHeight="1">
      <c r="A891" s="68"/>
      <c r="B891" s="24"/>
      <c r="C891" s="24"/>
      <c r="D891" s="24"/>
      <c r="E891" s="24"/>
      <c r="F891" s="24"/>
      <c r="G891" s="24"/>
      <c r="H891" s="48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0" customHeight="1">
      <c r="A892" s="68"/>
      <c r="B892" s="24"/>
      <c r="C892" s="24"/>
      <c r="D892" s="24"/>
      <c r="E892" s="24"/>
      <c r="F892" s="24"/>
      <c r="G892" s="24"/>
      <c r="H892" s="48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0" customHeight="1">
      <c r="A893" s="68"/>
      <c r="B893" s="24"/>
      <c r="C893" s="24"/>
      <c r="D893" s="24"/>
      <c r="E893" s="24"/>
      <c r="F893" s="24"/>
      <c r="G893" s="24"/>
      <c r="H893" s="48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0" customHeight="1">
      <c r="A894" s="68"/>
      <c r="B894" s="24"/>
      <c r="C894" s="24"/>
      <c r="D894" s="24"/>
      <c r="E894" s="24"/>
      <c r="F894" s="24"/>
      <c r="G894" s="24"/>
      <c r="H894" s="48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0" customHeight="1">
      <c r="A895" s="68"/>
      <c r="B895" s="24"/>
      <c r="C895" s="24"/>
      <c r="D895" s="24"/>
      <c r="E895" s="24"/>
      <c r="F895" s="24"/>
      <c r="G895" s="24"/>
      <c r="H895" s="48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0" customHeight="1">
      <c r="A896" s="68"/>
      <c r="B896" s="24"/>
      <c r="C896" s="24"/>
      <c r="D896" s="24"/>
      <c r="E896" s="24"/>
      <c r="F896" s="24"/>
      <c r="G896" s="24"/>
      <c r="H896" s="48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0" customHeight="1">
      <c r="A897" s="68"/>
      <c r="B897" s="24"/>
      <c r="C897" s="24"/>
      <c r="D897" s="24"/>
      <c r="E897" s="24"/>
      <c r="F897" s="24"/>
      <c r="G897" s="24"/>
      <c r="H897" s="48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0" customHeight="1">
      <c r="A898" s="68"/>
      <c r="B898" s="24"/>
      <c r="C898" s="24"/>
      <c r="D898" s="24"/>
      <c r="E898" s="24"/>
      <c r="F898" s="24"/>
      <c r="G898" s="24"/>
      <c r="H898" s="48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0" customHeight="1">
      <c r="A899" s="68"/>
      <c r="B899" s="24"/>
      <c r="C899" s="24"/>
      <c r="D899" s="24"/>
      <c r="E899" s="24"/>
      <c r="F899" s="24"/>
      <c r="G899" s="24"/>
      <c r="H899" s="48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0" customHeight="1">
      <c r="A900" s="68"/>
      <c r="B900" s="24"/>
      <c r="C900" s="24"/>
      <c r="D900" s="24"/>
      <c r="E900" s="24"/>
      <c r="F900" s="24"/>
      <c r="G900" s="24"/>
      <c r="H900" s="48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0" customHeight="1">
      <c r="A901" s="68"/>
      <c r="B901" s="24"/>
      <c r="C901" s="24"/>
      <c r="D901" s="24"/>
      <c r="E901" s="24"/>
      <c r="F901" s="24"/>
      <c r="G901" s="24"/>
      <c r="H901" s="48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0" customHeight="1">
      <c r="A902" s="68"/>
      <c r="B902" s="24"/>
      <c r="C902" s="24"/>
      <c r="D902" s="24"/>
      <c r="E902" s="24"/>
      <c r="F902" s="24"/>
      <c r="G902" s="24"/>
      <c r="H902" s="48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0" customHeight="1">
      <c r="A903" s="68"/>
      <c r="B903" s="24"/>
      <c r="C903" s="24"/>
      <c r="D903" s="24"/>
      <c r="E903" s="24"/>
      <c r="F903" s="24"/>
      <c r="G903" s="24"/>
      <c r="H903" s="48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0" customHeight="1">
      <c r="A904" s="68"/>
      <c r="B904" s="24"/>
      <c r="C904" s="24"/>
      <c r="D904" s="24"/>
      <c r="E904" s="24"/>
      <c r="F904" s="24"/>
      <c r="G904" s="24"/>
      <c r="H904" s="48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0" customHeight="1">
      <c r="A905" s="68"/>
      <c r="B905" s="24"/>
      <c r="C905" s="24"/>
      <c r="D905" s="24"/>
      <c r="E905" s="24"/>
      <c r="F905" s="24"/>
      <c r="G905" s="24"/>
      <c r="H905" s="48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0" customHeight="1">
      <c r="A906" s="68"/>
      <c r="B906" s="24"/>
      <c r="C906" s="24"/>
      <c r="D906" s="24"/>
      <c r="E906" s="24"/>
      <c r="F906" s="24"/>
      <c r="G906" s="24"/>
      <c r="H906" s="48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0" customHeight="1">
      <c r="A907" s="68"/>
      <c r="B907" s="24"/>
      <c r="C907" s="24"/>
      <c r="D907" s="24"/>
      <c r="E907" s="24"/>
      <c r="F907" s="24"/>
      <c r="G907" s="24"/>
      <c r="H907" s="48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0" customHeight="1">
      <c r="A908" s="68"/>
      <c r="B908" s="24"/>
      <c r="C908" s="24"/>
      <c r="D908" s="24"/>
      <c r="E908" s="24"/>
      <c r="F908" s="24"/>
      <c r="G908" s="24"/>
      <c r="H908" s="48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0" customHeight="1">
      <c r="A909" s="68"/>
      <c r="B909" s="24"/>
      <c r="C909" s="24"/>
      <c r="D909" s="24"/>
      <c r="E909" s="24"/>
      <c r="F909" s="24"/>
      <c r="G909" s="24"/>
      <c r="H909" s="48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0" customHeight="1">
      <c r="A910" s="68"/>
      <c r="B910" s="24"/>
      <c r="C910" s="24"/>
      <c r="D910" s="24"/>
      <c r="E910" s="24"/>
      <c r="F910" s="24"/>
      <c r="G910" s="24"/>
      <c r="H910" s="48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0" customHeight="1">
      <c r="A911" s="68"/>
      <c r="B911" s="24"/>
      <c r="C911" s="24"/>
      <c r="D911" s="24"/>
      <c r="E911" s="24"/>
      <c r="F911" s="24"/>
      <c r="G911" s="24"/>
      <c r="H911" s="48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0" customHeight="1">
      <c r="A912" s="68"/>
      <c r="B912" s="24"/>
      <c r="C912" s="24"/>
      <c r="D912" s="24"/>
      <c r="E912" s="24"/>
      <c r="F912" s="24"/>
      <c r="G912" s="24"/>
      <c r="H912" s="48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0" customHeight="1">
      <c r="A913" s="68"/>
      <c r="B913" s="24"/>
      <c r="C913" s="24"/>
      <c r="D913" s="24"/>
      <c r="E913" s="24"/>
      <c r="F913" s="24"/>
      <c r="G913" s="24"/>
      <c r="H913" s="48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0" customHeight="1">
      <c r="A914" s="68"/>
      <c r="B914" s="24"/>
      <c r="C914" s="24"/>
      <c r="D914" s="24"/>
      <c r="E914" s="24"/>
      <c r="F914" s="24"/>
      <c r="G914" s="24"/>
      <c r="H914" s="48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0" customHeight="1">
      <c r="A915" s="68"/>
      <c r="B915" s="24"/>
      <c r="C915" s="24"/>
      <c r="D915" s="24"/>
      <c r="E915" s="24"/>
      <c r="F915" s="24"/>
      <c r="G915" s="24"/>
      <c r="H915" s="48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0" customHeight="1">
      <c r="A916" s="68"/>
      <c r="B916" s="24"/>
      <c r="C916" s="24"/>
      <c r="D916" s="24"/>
      <c r="E916" s="24"/>
      <c r="F916" s="24"/>
      <c r="G916" s="24"/>
      <c r="H916" s="48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0" customHeight="1">
      <c r="A917" s="68"/>
      <c r="B917" s="24"/>
      <c r="C917" s="24"/>
      <c r="D917" s="24"/>
      <c r="E917" s="24"/>
      <c r="F917" s="24"/>
      <c r="G917" s="24"/>
      <c r="H917" s="48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0" customHeight="1">
      <c r="A918" s="68"/>
      <c r="B918" s="24"/>
      <c r="C918" s="24"/>
      <c r="D918" s="24"/>
      <c r="E918" s="24"/>
      <c r="F918" s="24"/>
      <c r="G918" s="24"/>
      <c r="H918" s="48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0" customHeight="1">
      <c r="A919" s="68"/>
      <c r="B919" s="24"/>
      <c r="C919" s="24"/>
      <c r="D919" s="24"/>
      <c r="E919" s="24"/>
      <c r="F919" s="24"/>
      <c r="G919" s="24"/>
      <c r="H919" s="48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0" customHeight="1">
      <c r="A920" s="68"/>
      <c r="B920" s="24"/>
      <c r="C920" s="24"/>
      <c r="D920" s="24"/>
      <c r="E920" s="24"/>
      <c r="F920" s="24"/>
      <c r="G920" s="24"/>
      <c r="H920" s="48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0" customHeight="1">
      <c r="A921" s="68"/>
      <c r="B921" s="24"/>
      <c r="C921" s="24"/>
      <c r="D921" s="24"/>
      <c r="E921" s="24"/>
      <c r="F921" s="24"/>
      <c r="G921" s="24"/>
      <c r="H921" s="48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0" customHeight="1">
      <c r="A922" s="68"/>
      <c r="B922" s="24"/>
      <c r="C922" s="24"/>
      <c r="D922" s="24"/>
      <c r="E922" s="24"/>
      <c r="F922" s="24"/>
      <c r="G922" s="24"/>
      <c r="H922" s="48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0" customHeight="1">
      <c r="A923" s="68"/>
      <c r="B923" s="24"/>
      <c r="C923" s="24"/>
      <c r="D923" s="24"/>
      <c r="E923" s="24"/>
      <c r="F923" s="24"/>
      <c r="G923" s="24"/>
      <c r="H923" s="48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0" customHeight="1">
      <c r="A924" s="68"/>
      <c r="B924" s="24"/>
      <c r="C924" s="24"/>
      <c r="D924" s="24"/>
      <c r="E924" s="24"/>
      <c r="F924" s="24"/>
      <c r="G924" s="24"/>
      <c r="H924" s="48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0" customHeight="1">
      <c r="A925" s="68"/>
      <c r="B925" s="24"/>
      <c r="C925" s="24"/>
      <c r="D925" s="24"/>
      <c r="E925" s="24"/>
      <c r="F925" s="24"/>
      <c r="G925" s="24"/>
      <c r="H925" s="48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0" customHeight="1">
      <c r="A926" s="68"/>
      <c r="B926" s="24"/>
      <c r="C926" s="24"/>
      <c r="D926" s="24"/>
      <c r="E926" s="24"/>
      <c r="F926" s="24"/>
      <c r="G926" s="24"/>
      <c r="H926" s="48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0" customHeight="1">
      <c r="A927" s="68"/>
      <c r="B927" s="24"/>
      <c r="C927" s="24"/>
      <c r="D927" s="24"/>
      <c r="E927" s="24"/>
      <c r="F927" s="24"/>
      <c r="G927" s="24"/>
      <c r="H927" s="48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0" customHeight="1">
      <c r="A928" s="68"/>
      <c r="B928" s="24"/>
      <c r="C928" s="24"/>
      <c r="D928" s="24"/>
      <c r="E928" s="24"/>
      <c r="F928" s="24"/>
      <c r="G928" s="24"/>
      <c r="H928" s="48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0" customHeight="1">
      <c r="A929" s="68"/>
      <c r="B929" s="24"/>
      <c r="C929" s="24"/>
      <c r="D929" s="24"/>
      <c r="E929" s="24"/>
      <c r="F929" s="24"/>
      <c r="G929" s="24"/>
      <c r="H929" s="48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0" customHeight="1">
      <c r="A930" s="68"/>
      <c r="B930" s="24"/>
      <c r="C930" s="24"/>
      <c r="D930" s="24"/>
      <c r="E930" s="24"/>
      <c r="F930" s="24"/>
      <c r="G930" s="24"/>
      <c r="H930" s="48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0" customHeight="1">
      <c r="A931" s="68"/>
      <c r="B931" s="24"/>
      <c r="C931" s="24"/>
      <c r="D931" s="24"/>
      <c r="E931" s="24"/>
      <c r="F931" s="24"/>
      <c r="G931" s="24"/>
      <c r="H931" s="48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0" customHeight="1">
      <c r="A932" s="68"/>
      <c r="B932" s="24"/>
      <c r="C932" s="24"/>
      <c r="D932" s="24"/>
      <c r="E932" s="24"/>
      <c r="F932" s="24"/>
      <c r="G932" s="24"/>
      <c r="H932" s="48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0" customHeight="1">
      <c r="A933" s="68"/>
      <c r="B933" s="24"/>
      <c r="C933" s="24"/>
      <c r="D933" s="24"/>
      <c r="E933" s="24"/>
      <c r="F933" s="24"/>
      <c r="G933" s="24"/>
      <c r="H933" s="48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0" customHeight="1">
      <c r="A934" s="68"/>
      <c r="B934" s="24"/>
      <c r="C934" s="24"/>
      <c r="D934" s="24"/>
      <c r="E934" s="24"/>
      <c r="F934" s="24"/>
      <c r="G934" s="24"/>
      <c r="H934" s="48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0" customHeight="1">
      <c r="A935" s="68"/>
      <c r="B935" s="24"/>
      <c r="C935" s="24"/>
      <c r="D935" s="24"/>
      <c r="E935" s="24"/>
      <c r="F935" s="24"/>
      <c r="G935" s="24"/>
      <c r="H935" s="48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0" customHeight="1">
      <c r="A936" s="68"/>
      <c r="B936" s="24"/>
      <c r="C936" s="24"/>
      <c r="D936" s="24"/>
      <c r="E936" s="24"/>
      <c r="F936" s="24"/>
      <c r="G936" s="24"/>
      <c r="H936" s="48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0" customHeight="1">
      <c r="A937" s="68"/>
      <c r="B937" s="24"/>
      <c r="C937" s="24"/>
      <c r="D937" s="24"/>
      <c r="E937" s="24"/>
      <c r="F937" s="24"/>
      <c r="G937" s="24"/>
      <c r="H937" s="48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0" customHeight="1">
      <c r="A938" s="68"/>
      <c r="B938" s="24"/>
      <c r="C938" s="24"/>
      <c r="D938" s="24"/>
      <c r="E938" s="24"/>
      <c r="F938" s="24"/>
      <c r="G938" s="24"/>
      <c r="H938" s="48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0" customHeight="1">
      <c r="A939" s="68"/>
      <c r="B939" s="24"/>
      <c r="C939" s="24"/>
      <c r="D939" s="24"/>
      <c r="E939" s="24"/>
      <c r="F939" s="24"/>
      <c r="G939" s="24"/>
      <c r="H939" s="48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0" customHeight="1">
      <c r="A940" s="68"/>
      <c r="B940" s="24"/>
      <c r="C940" s="24"/>
      <c r="D940" s="24"/>
      <c r="E940" s="24"/>
      <c r="F940" s="24"/>
      <c r="G940" s="24"/>
      <c r="H940" s="48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0" customHeight="1">
      <c r="A941" s="68"/>
      <c r="B941" s="24"/>
      <c r="C941" s="24"/>
      <c r="D941" s="24"/>
      <c r="E941" s="24"/>
      <c r="F941" s="24"/>
      <c r="G941" s="24"/>
      <c r="H941" s="48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0" customHeight="1">
      <c r="A942" s="68"/>
      <c r="B942" s="24"/>
      <c r="C942" s="24"/>
      <c r="D942" s="24"/>
      <c r="E942" s="24"/>
      <c r="F942" s="24"/>
      <c r="G942" s="24"/>
      <c r="H942" s="48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0" customHeight="1">
      <c r="A943" s="68"/>
      <c r="B943" s="24"/>
      <c r="C943" s="24"/>
      <c r="D943" s="24"/>
      <c r="E943" s="24"/>
      <c r="F943" s="24"/>
      <c r="G943" s="24"/>
      <c r="H943" s="48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0" customHeight="1">
      <c r="A944" s="68"/>
      <c r="B944" s="24"/>
      <c r="C944" s="24"/>
      <c r="D944" s="24"/>
      <c r="E944" s="24"/>
      <c r="F944" s="24"/>
      <c r="G944" s="24"/>
      <c r="H944" s="48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0" customHeight="1">
      <c r="A945" s="68"/>
      <c r="B945" s="24"/>
      <c r="C945" s="24"/>
      <c r="D945" s="24"/>
      <c r="E945" s="24"/>
      <c r="F945" s="24"/>
      <c r="G945" s="24"/>
      <c r="H945" s="48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0" customHeight="1">
      <c r="A946" s="68"/>
      <c r="B946" s="24"/>
      <c r="C946" s="24"/>
      <c r="D946" s="24"/>
      <c r="E946" s="24"/>
      <c r="F946" s="24"/>
      <c r="G946" s="24"/>
      <c r="H946" s="48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0" customHeight="1">
      <c r="A947" s="68"/>
      <c r="B947" s="24"/>
      <c r="C947" s="24"/>
      <c r="D947" s="24"/>
      <c r="E947" s="24"/>
      <c r="F947" s="24"/>
      <c r="G947" s="24"/>
      <c r="H947" s="48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0" customHeight="1">
      <c r="A948" s="68"/>
      <c r="B948" s="24"/>
      <c r="C948" s="24"/>
      <c r="D948" s="24"/>
      <c r="E948" s="24"/>
      <c r="F948" s="24"/>
      <c r="G948" s="24"/>
      <c r="H948" s="48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0" customHeight="1">
      <c r="A949" s="68"/>
      <c r="B949" s="24"/>
      <c r="C949" s="24"/>
      <c r="D949" s="24"/>
      <c r="E949" s="24"/>
      <c r="F949" s="24"/>
      <c r="G949" s="24"/>
      <c r="H949" s="48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0" customHeight="1">
      <c r="A950" s="68"/>
      <c r="B950" s="24"/>
      <c r="C950" s="24"/>
      <c r="D950" s="24"/>
      <c r="E950" s="24"/>
      <c r="F950" s="24"/>
      <c r="G950" s="24"/>
      <c r="H950" s="48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0" customHeight="1">
      <c r="A951" s="68"/>
      <c r="B951" s="24"/>
      <c r="C951" s="24"/>
      <c r="D951" s="24"/>
      <c r="E951" s="24"/>
      <c r="F951" s="24"/>
      <c r="G951" s="24"/>
      <c r="H951" s="48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0" customHeight="1">
      <c r="A952" s="68"/>
      <c r="B952" s="24"/>
      <c r="C952" s="24"/>
      <c r="D952" s="24"/>
      <c r="E952" s="24"/>
      <c r="F952" s="24"/>
      <c r="G952" s="24"/>
      <c r="H952" s="48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0" customHeight="1">
      <c r="A953" s="68"/>
      <c r="B953" s="24"/>
      <c r="C953" s="24"/>
      <c r="D953" s="24"/>
      <c r="E953" s="24"/>
      <c r="F953" s="24"/>
      <c r="G953" s="24"/>
      <c r="H953" s="48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0" customHeight="1">
      <c r="A954" s="68"/>
      <c r="B954" s="24"/>
      <c r="C954" s="24"/>
      <c r="D954" s="24"/>
      <c r="E954" s="24"/>
      <c r="F954" s="24"/>
      <c r="G954" s="24"/>
      <c r="H954" s="48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0" customHeight="1">
      <c r="A955" s="68"/>
      <c r="B955" s="24"/>
      <c r="C955" s="24"/>
      <c r="D955" s="24"/>
      <c r="E955" s="24"/>
      <c r="F955" s="24"/>
      <c r="G955" s="24"/>
      <c r="H955" s="48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0" customHeight="1">
      <c r="A956" s="68"/>
      <c r="B956" s="24"/>
      <c r="C956" s="24"/>
      <c r="D956" s="24"/>
      <c r="E956" s="24"/>
      <c r="F956" s="24"/>
      <c r="G956" s="24"/>
      <c r="H956" s="48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0" customHeight="1">
      <c r="A957" s="68"/>
      <c r="B957" s="24"/>
      <c r="C957" s="24"/>
      <c r="D957" s="24"/>
      <c r="E957" s="24"/>
      <c r="F957" s="24"/>
      <c r="G957" s="24"/>
      <c r="H957" s="48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0" customHeight="1">
      <c r="A958" s="68"/>
      <c r="B958" s="24"/>
      <c r="C958" s="24"/>
      <c r="D958" s="24"/>
      <c r="E958" s="24"/>
      <c r="F958" s="24"/>
      <c r="G958" s="24"/>
      <c r="H958" s="48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0" customHeight="1">
      <c r="A959" s="68"/>
      <c r="B959" s="24"/>
      <c r="C959" s="24"/>
      <c r="D959" s="24"/>
      <c r="E959" s="24"/>
      <c r="F959" s="24"/>
      <c r="G959" s="24"/>
      <c r="H959" s="48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0" customHeight="1">
      <c r="A960" s="68"/>
      <c r="B960" s="24"/>
      <c r="C960" s="24"/>
      <c r="D960" s="24"/>
      <c r="E960" s="24"/>
      <c r="F960" s="24"/>
      <c r="G960" s="24"/>
      <c r="H960" s="48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0" customHeight="1">
      <c r="A961" s="68"/>
      <c r="B961" s="24"/>
      <c r="C961" s="24"/>
      <c r="D961" s="24"/>
      <c r="E961" s="24"/>
      <c r="F961" s="24"/>
      <c r="G961" s="24"/>
      <c r="H961" s="48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0" customHeight="1">
      <c r="A962" s="68"/>
      <c r="B962" s="24"/>
      <c r="C962" s="24"/>
      <c r="D962" s="24"/>
      <c r="E962" s="24"/>
      <c r="F962" s="24"/>
      <c r="G962" s="24"/>
      <c r="H962" s="48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0" customHeight="1">
      <c r="A963" s="68"/>
      <c r="B963" s="24"/>
      <c r="C963" s="24"/>
      <c r="D963" s="24"/>
      <c r="E963" s="24"/>
      <c r="F963" s="24"/>
      <c r="G963" s="24"/>
      <c r="H963" s="48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0" customHeight="1">
      <c r="A964" s="68"/>
      <c r="B964" s="24"/>
      <c r="C964" s="24"/>
      <c r="D964" s="24"/>
      <c r="E964" s="24"/>
      <c r="F964" s="24"/>
      <c r="G964" s="24"/>
      <c r="H964" s="48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0" customHeight="1">
      <c r="A965" s="68"/>
      <c r="B965" s="24"/>
      <c r="C965" s="24"/>
      <c r="D965" s="24"/>
      <c r="E965" s="24"/>
      <c r="F965" s="24"/>
      <c r="G965" s="24"/>
      <c r="H965" s="48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0" customHeight="1">
      <c r="A966" s="68"/>
      <c r="B966" s="24"/>
      <c r="C966" s="24"/>
      <c r="D966" s="24"/>
      <c r="E966" s="24"/>
      <c r="F966" s="24"/>
      <c r="G966" s="24"/>
      <c r="H966" s="48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0" customHeight="1">
      <c r="A967" s="68"/>
      <c r="B967" s="24"/>
      <c r="C967" s="24"/>
      <c r="D967" s="24"/>
      <c r="E967" s="24"/>
      <c r="F967" s="24"/>
      <c r="G967" s="24"/>
      <c r="H967" s="48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0" customHeight="1">
      <c r="A968" s="68"/>
      <c r="B968" s="24"/>
      <c r="C968" s="24"/>
      <c r="D968" s="24"/>
      <c r="E968" s="24"/>
      <c r="F968" s="24"/>
      <c r="G968" s="24"/>
      <c r="H968" s="48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0" customHeight="1">
      <c r="A969" s="68"/>
      <c r="B969" s="24"/>
      <c r="C969" s="24"/>
      <c r="D969" s="24"/>
      <c r="E969" s="24"/>
      <c r="F969" s="24"/>
      <c r="G969" s="24"/>
      <c r="H969" s="48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0" customHeight="1">
      <c r="A970" s="68"/>
      <c r="B970" s="24"/>
      <c r="C970" s="24"/>
      <c r="D970" s="24"/>
      <c r="E970" s="24"/>
      <c r="F970" s="24"/>
      <c r="G970" s="24"/>
      <c r="H970" s="48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0" customHeight="1">
      <c r="A971" s="68"/>
      <c r="B971" s="24"/>
      <c r="C971" s="24"/>
      <c r="D971" s="24"/>
      <c r="E971" s="24"/>
      <c r="F971" s="24"/>
      <c r="G971" s="24"/>
      <c r="H971" s="48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0" customHeight="1">
      <c r="A972" s="68"/>
      <c r="B972" s="24"/>
      <c r="C972" s="24"/>
      <c r="D972" s="24"/>
      <c r="E972" s="24"/>
      <c r="F972" s="24"/>
      <c r="G972" s="24"/>
      <c r="H972" s="48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0" customHeight="1">
      <c r="A973" s="68"/>
      <c r="B973" s="24"/>
      <c r="C973" s="24"/>
      <c r="D973" s="24"/>
      <c r="E973" s="24"/>
      <c r="F973" s="24"/>
      <c r="G973" s="24"/>
      <c r="H973" s="48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0" customHeight="1">
      <c r="A974" s="68"/>
      <c r="B974" s="24"/>
      <c r="C974" s="24"/>
      <c r="D974" s="24"/>
      <c r="E974" s="24"/>
      <c r="F974" s="24"/>
      <c r="G974" s="24"/>
      <c r="H974" s="48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0" customHeight="1">
      <c r="A975" s="68"/>
      <c r="B975" s="24"/>
      <c r="C975" s="24"/>
      <c r="D975" s="24"/>
      <c r="E975" s="24"/>
      <c r="F975" s="24"/>
      <c r="G975" s="24"/>
      <c r="H975" s="48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0" customHeight="1">
      <c r="A976" s="68"/>
      <c r="B976" s="24"/>
      <c r="C976" s="24"/>
      <c r="D976" s="24"/>
      <c r="E976" s="24"/>
      <c r="F976" s="24"/>
      <c r="G976" s="24"/>
      <c r="H976" s="48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0" customHeight="1">
      <c r="A977" s="68"/>
      <c r="B977" s="24"/>
      <c r="C977" s="24"/>
      <c r="D977" s="24"/>
      <c r="E977" s="24"/>
      <c r="F977" s="24"/>
      <c r="G977" s="24"/>
      <c r="H977" s="48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0" customHeight="1">
      <c r="A978" s="68"/>
      <c r="B978" s="24"/>
      <c r="C978" s="24"/>
      <c r="D978" s="24"/>
      <c r="E978" s="24"/>
      <c r="F978" s="24"/>
      <c r="G978" s="24"/>
      <c r="H978" s="48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0" customHeight="1">
      <c r="A979" s="68"/>
      <c r="B979" s="24"/>
      <c r="C979" s="24"/>
      <c r="D979" s="24"/>
      <c r="E979" s="24"/>
      <c r="F979" s="24"/>
      <c r="G979" s="24"/>
      <c r="H979" s="48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0" customHeight="1">
      <c r="A980" s="68"/>
      <c r="B980" s="24"/>
      <c r="C980" s="24"/>
      <c r="D980" s="24"/>
      <c r="E980" s="24"/>
      <c r="F980" s="24"/>
      <c r="G980" s="24"/>
      <c r="H980" s="48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0" customHeight="1">
      <c r="A981" s="68"/>
      <c r="B981" s="24"/>
      <c r="C981" s="24"/>
      <c r="D981" s="24"/>
      <c r="E981" s="24"/>
      <c r="F981" s="24"/>
      <c r="G981" s="24"/>
      <c r="H981" s="48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0" customHeight="1">
      <c r="A982" s="68"/>
      <c r="B982" s="24"/>
      <c r="C982" s="24"/>
      <c r="D982" s="24"/>
      <c r="E982" s="24"/>
      <c r="F982" s="24"/>
      <c r="G982" s="24"/>
      <c r="H982" s="48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0" customHeight="1">
      <c r="A983" s="68"/>
      <c r="B983" s="24"/>
      <c r="C983" s="24"/>
      <c r="D983" s="24"/>
      <c r="E983" s="24"/>
      <c r="F983" s="24"/>
      <c r="G983" s="24"/>
      <c r="H983" s="48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0" customHeight="1">
      <c r="A984" s="68"/>
      <c r="B984" s="24"/>
      <c r="C984" s="24"/>
      <c r="D984" s="24"/>
      <c r="E984" s="24"/>
      <c r="F984" s="24"/>
      <c r="G984" s="24"/>
      <c r="H984" s="48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0" customHeight="1">
      <c r="A985" s="68"/>
      <c r="B985" s="24"/>
      <c r="C985" s="24"/>
      <c r="D985" s="24"/>
      <c r="E985" s="24"/>
      <c r="F985" s="24"/>
      <c r="G985" s="24"/>
      <c r="H985" s="48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0" customHeight="1">
      <c r="A986" s="68"/>
      <c r="B986" s="24"/>
      <c r="C986" s="24"/>
      <c r="D986" s="24"/>
      <c r="E986" s="24"/>
      <c r="F986" s="24"/>
      <c r="G986" s="24"/>
      <c r="H986" s="48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0" customHeight="1">
      <c r="A987" s="68"/>
      <c r="B987" s="24"/>
      <c r="C987" s="24"/>
      <c r="D987" s="24"/>
      <c r="E987" s="24"/>
      <c r="F987" s="24"/>
      <c r="G987" s="24"/>
      <c r="H987" s="48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0" customHeight="1">
      <c r="A988" s="68"/>
      <c r="B988" s="24"/>
      <c r="C988" s="24"/>
      <c r="D988" s="24"/>
      <c r="E988" s="24"/>
      <c r="F988" s="24"/>
      <c r="G988" s="24"/>
      <c r="H988" s="48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0" customHeight="1">
      <c r="A989" s="68"/>
      <c r="B989" s="24"/>
      <c r="C989" s="24"/>
      <c r="D989" s="24"/>
      <c r="E989" s="24"/>
      <c r="F989" s="24"/>
      <c r="G989" s="24"/>
      <c r="H989" s="48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0" customHeight="1">
      <c r="A990" s="68"/>
      <c r="B990" s="24"/>
      <c r="C990" s="24"/>
      <c r="D990" s="24"/>
      <c r="E990" s="24"/>
      <c r="F990" s="24"/>
      <c r="G990" s="24"/>
      <c r="H990" s="48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0" customHeight="1">
      <c r="A991" s="68"/>
      <c r="B991" s="24"/>
      <c r="C991" s="24"/>
      <c r="D991" s="24"/>
      <c r="E991" s="24"/>
      <c r="F991" s="24"/>
      <c r="G991" s="24"/>
      <c r="H991" s="48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0" customHeight="1">
      <c r="A992" s="68"/>
      <c r="B992" s="24"/>
      <c r="C992" s="24"/>
      <c r="D992" s="24"/>
      <c r="E992" s="24"/>
      <c r="F992" s="24"/>
      <c r="G992" s="24"/>
      <c r="H992" s="48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0" customHeight="1">
      <c r="A993" s="68"/>
      <c r="B993" s="24"/>
      <c r="C993" s="24"/>
      <c r="D993" s="24"/>
      <c r="E993" s="24"/>
      <c r="F993" s="24"/>
      <c r="G993" s="24"/>
      <c r="H993" s="48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0" customHeight="1">
      <c r="A994" s="68"/>
      <c r="B994" s="24"/>
      <c r="C994" s="24"/>
      <c r="D994" s="24"/>
      <c r="E994" s="24"/>
      <c r="F994" s="24"/>
      <c r="G994" s="24"/>
      <c r="H994" s="48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0" customHeight="1">
      <c r="A995" s="68"/>
      <c r="B995" s="24"/>
      <c r="C995" s="24"/>
      <c r="D995" s="24"/>
      <c r="E995" s="24"/>
      <c r="F995" s="24"/>
      <c r="G995" s="24"/>
      <c r="H995" s="48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0" customHeight="1">
      <c r="A996" s="68"/>
      <c r="B996" s="24"/>
      <c r="C996" s="24"/>
      <c r="D996" s="24"/>
      <c r="E996" s="24"/>
      <c r="F996" s="24"/>
      <c r="G996" s="24"/>
      <c r="H996" s="48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0" customHeight="1">
      <c r="A997" s="68"/>
      <c r="B997" s="24"/>
      <c r="C997" s="24"/>
      <c r="D997" s="24"/>
      <c r="E997" s="24"/>
      <c r="F997" s="24"/>
      <c r="G997" s="24"/>
      <c r="H997" s="48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0" customHeight="1">
      <c r="A998" s="68"/>
      <c r="B998" s="24"/>
      <c r="C998" s="24"/>
      <c r="D998" s="24"/>
      <c r="E998" s="24"/>
      <c r="F998" s="24"/>
      <c r="G998" s="24"/>
      <c r="H998" s="48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0" customHeight="1">
      <c r="A999" s="68"/>
      <c r="B999" s="24"/>
      <c r="C999" s="24"/>
      <c r="D999" s="24"/>
      <c r="E999" s="24"/>
      <c r="F999" s="24"/>
      <c r="G999" s="24"/>
      <c r="H999" s="48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mergeCells count="3">
    <mergeCell ref="B1:C1"/>
    <mergeCell ref="D1:E1"/>
    <mergeCell ref="F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25.38"/>
    <col customWidth="1" min="3" max="3" width="26.13"/>
    <col customWidth="1" min="4" max="4" width="28.0"/>
    <col customWidth="1" min="5" max="5" width="26.13"/>
    <col customWidth="1" min="6" max="6" width="25.38"/>
    <col customWidth="1" min="7" max="7" width="25.63"/>
    <col customWidth="1" min="8" max="8" width="27.38"/>
    <col customWidth="1" min="9" max="9" width="27.75"/>
    <col customWidth="1" min="10" max="10" width="19.5"/>
    <col customWidth="1" min="11" max="11" width="27.88"/>
  </cols>
  <sheetData>
    <row r="1" ht="16.5" customHeight="1">
      <c r="A1" s="57"/>
      <c r="B1" s="1">
        <v>2023.0</v>
      </c>
      <c r="C1" s="3"/>
      <c r="D1" s="1">
        <v>2024.0</v>
      </c>
      <c r="E1" s="3"/>
      <c r="F1" s="1">
        <v>2025.0</v>
      </c>
      <c r="G1" s="3"/>
      <c r="H1" s="63"/>
      <c r="I1" s="6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6.5" customHeight="1">
      <c r="A2" s="31" t="s">
        <v>18</v>
      </c>
      <c r="B2" s="31" t="s">
        <v>22</v>
      </c>
      <c r="C2" s="43" t="s">
        <v>23</v>
      </c>
      <c r="D2" s="31" t="s">
        <v>22</v>
      </c>
      <c r="E2" s="43" t="s">
        <v>23</v>
      </c>
      <c r="F2" s="31" t="s">
        <v>22</v>
      </c>
      <c r="G2" s="43" t="s">
        <v>23</v>
      </c>
      <c r="H2" s="65" t="s">
        <v>152</v>
      </c>
      <c r="I2" s="32" t="s">
        <v>151</v>
      </c>
      <c r="J2" s="47" t="s">
        <v>149</v>
      </c>
      <c r="K2" s="47" t="s">
        <v>150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6.5" customHeight="1">
      <c r="A3" s="45" t="s">
        <v>116</v>
      </c>
      <c r="B3" s="69">
        <v>4.129</v>
      </c>
      <c r="C3" s="46">
        <v>27.02</v>
      </c>
      <c r="D3" s="69">
        <v>4.638</v>
      </c>
      <c r="E3" s="46">
        <v>29.43</v>
      </c>
      <c r="F3" s="69">
        <v>4.172</v>
      </c>
      <c r="G3" s="46">
        <v>35.27</v>
      </c>
      <c r="H3" s="35">
        <f t="shared" ref="H3:I3" si="1">((F3-B3)/B3)*100</f>
        <v>1.041414386</v>
      </c>
      <c r="I3" s="35">
        <f t="shared" si="1"/>
        <v>30.53293856</v>
      </c>
      <c r="J3" s="70">
        <f>correl(H3:H52, I3:I52)</f>
        <v>-0.1991579947</v>
      </c>
      <c r="K3" s="70">
        <f>correl(H4:H53, I4:I53)</f>
        <v>-0.2045627948</v>
      </c>
    </row>
    <row r="4" ht="16.5" customHeight="1">
      <c r="A4" s="45" t="s">
        <v>64</v>
      </c>
      <c r="B4" s="69">
        <v>6.138</v>
      </c>
      <c r="C4" s="46">
        <v>26.56</v>
      </c>
      <c r="D4" s="69">
        <v>6.373</v>
      </c>
      <c r="E4" s="46">
        <v>29.89</v>
      </c>
      <c r="F4" s="69">
        <v>6.641</v>
      </c>
      <c r="G4" s="46">
        <v>32.02</v>
      </c>
      <c r="H4" s="35">
        <f t="shared" ref="H4:I4" si="2">((F4-B4)/B4)*100</f>
        <v>8.194851743</v>
      </c>
      <c r="I4" s="35">
        <f t="shared" si="2"/>
        <v>20.55722892</v>
      </c>
    </row>
    <row r="5" ht="16.5" customHeight="1">
      <c r="A5" s="45" t="s">
        <v>78</v>
      </c>
      <c r="B5" s="69">
        <v>5.44</v>
      </c>
      <c r="C5" s="46">
        <v>31.21</v>
      </c>
      <c r="D5" s="69">
        <v>5.224</v>
      </c>
      <c r="E5" s="46">
        <v>34.36</v>
      </c>
      <c r="F5" s="69">
        <v>5.894</v>
      </c>
      <c r="G5" s="46">
        <v>37.14</v>
      </c>
      <c r="H5" s="35">
        <f t="shared" ref="H5:I5" si="3">((F5-B5)/B5)*100</f>
        <v>8.345588235</v>
      </c>
      <c r="I5" s="35">
        <f t="shared" si="3"/>
        <v>19.00032041</v>
      </c>
    </row>
    <row r="6" ht="16.5" customHeight="1">
      <c r="A6" s="45" t="s">
        <v>109</v>
      </c>
      <c r="B6" s="69">
        <v>4.767</v>
      </c>
      <c r="C6" s="46">
        <v>41.03</v>
      </c>
      <c r="D6" s="69">
        <v>5.0</v>
      </c>
      <c r="E6" s="46">
        <v>44.21</v>
      </c>
      <c r="F6" s="69">
        <v>5.383</v>
      </c>
      <c r="G6" s="46">
        <v>47.96</v>
      </c>
      <c r="H6" s="35">
        <f t="shared" ref="H6:I6" si="4">((F6-B6)/B6)*100</f>
        <v>12.92217327</v>
      </c>
      <c r="I6" s="35">
        <f t="shared" si="4"/>
        <v>16.89008043</v>
      </c>
    </row>
    <row r="7" ht="16.5" customHeight="1">
      <c r="A7" s="45" t="s">
        <v>54</v>
      </c>
      <c r="B7" s="69">
        <v>4.354</v>
      </c>
      <c r="C7" s="46">
        <v>33.18</v>
      </c>
      <c r="D7" s="69">
        <v>4.5</v>
      </c>
      <c r="E7" s="46">
        <v>35.66</v>
      </c>
      <c r="F7" s="69">
        <v>4.546</v>
      </c>
      <c r="G7" s="46">
        <v>37.21</v>
      </c>
      <c r="H7" s="35">
        <f t="shared" ref="H7:I7" si="5">((F7-B7)/B7)*100</f>
        <v>4.409738172</v>
      </c>
      <c r="I7" s="35">
        <f t="shared" si="5"/>
        <v>12.14587101</v>
      </c>
    </row>
    <row r="8" ht="16.5" customHeight="1">
      <c r="A8" s="45" t="s">
        <v>84</v>
      </c>
      <c r="B8" s="69">
        <v>5.576</v>
      </c>
      <c r="C8" s="46">
        <v>31.67</v>
      </c>
      <c r="D8" s="69">
        <v>5.618</v>
      </c>
      <c r="E8" s="46">
        <v>34.17</v>
      </c>
      <c r="F8" s="69">
        <v>5.343</v>
      </c>
      <c r="G8" s="46">
        <v>35.5</v>
      </c>
      <c r="H8" s="35">
        <f t="shared" ref="H8:I8" si="6">((F8-B8)/B8)*100</f>
        <v>-4.178622669</v>
      </c>
      <c r="I8" s="35">
        <f t="shared" si="6"/>
        <v>12.09346385</v>
      </c>
    </row>
    <row r="9" ht="16.5" customHeight="1">
      <c r="A9" s="45" t="s">
        <v>72</v>
      </c>
      <c r="B9" s="69">
        <v>4.122</v>
      </c>
      <c r="C9" s="46">
        <v>29.85</v>
      </c>
      <c r="D9" s="69">
        <v>3.941</v>
      </c>
      <c r="E9" s="46">
        <v>31.48</v>
      </c>
      <c r="F9" s="69">
        <v>4.418</v>
      </c>
      <c r="G9" s="46">
        <v>33.27</v>
      </c>
      <c r="H9" s="35">
        <f t="shared" ref="H9:I9" si="7">((F9-B9)/B9)*100</f>
        <v>7.180980107</v>
      </c>
      <c r="I9" s="35">
        <f t="shared" si="7"/>
        <v>11.45728643</v>
      </c>
    </row>
    <row r="10" ht="16.5" customHeight="1">
      <c r="A10" s="45" t="s">
        <v>92</v>
      </c>
      <c r="B10" s="69">
        <v>5.766</v>
      </c>
      <c r="C10" s="46">
        <v>31.22</v>
      </c>
      <c r="D10" s="69">
        <v>5.543</v>
      </c>
      <c r="E10" s="46">
        <v>32.73</v>
      </c>
      <c r="F10" s="69">
        <v>5.366</v>
      </c>
      <c r="G10" s="46">
        <v>34.58</v>
      </c>
      <c r="H10" s="35">
        <f t="shared" ref="H10:I10" si="8">((F10-B10)/B10)*100</f>
        <v>-6.937218176</v>
      </c>
      <c r="I10" s="35">
        <f t="shared" si="8"/>
        <v>10.76233184</v>
      </c>
    </row>
    <row r="11" ht="16.5" customHeight="1">
      <c r="A11" s="45" t="s">
        <v>102</v>
      </c>
      <c r="B11" s="69">
        <v>3.416</v>
      </c>
      <c r="C11" s="46">
        <v>37.76</v>
      </c>
      <c r="D11" s="69">
        <v>3.583</v>
      </c>
      <c r="E11" s="46">
        <v>38.51</v>
      </c>
      <c r="F11" s="69">
        <v>3.154</v>
      </c>
      <c r="G11" s="46">
        <v>41.68</v>
      </c>
      <c r="H11" s="35">
        <f t="shared" ref="H11:I11" si="9">((F11-B11)/B11)*100</f>
        <v>-7.669789227</v>
      </c>
      <c r="I11" s="35">
        <f t="shared" si="9"/>
        <v>10.38135593</v>
      </c>
    </row>
    <row r="12" ht="16.5" customHeight="1">
      <c r="A12" s="45" t="s">
        <v>96</v>
      </c>
      <c r="B12" s="69">
        <v>5.652</v>
      </c>
      <c r="C12" s="46">
        <v>33.0</v>
      </c>
      <c r="D12" s="69">
        <v>5.601</v>
      </c>
      <c r="E12" s="46">
        <v>34.67</v>
      </c>
      <c r="F12" s="69">
        <v>5.381</v>
      </c>
      <c r="G12" s="46">
        <v>36.4</v>
      </c>
      <c r="H12" s="35">
        <f t="shared" ref="H12:I12" si="10">((F12-B12)/B12)*100</f>
        <v>-4.794762916</v>
      </c>
      <c r="I12" s="35">
        <f t="shared" si="10"/>
        <v>10.3030303</v>
      </c>
    </row>
    <row r="13" ht="16.5" customHeight="1">
      <c r="A13" s="45" t="s">
        <v>117</v>
      </c>
      <c r="B13" s="69">
        <v>5.342</v>
      </c>
      <c r="C13" s="46">
        <v>27.74</v>
      </c>
      <c r="D13" s="69">
        <v>5.956</v>
      </c>
      <c r="E13" s="46">
        <v>28.62</v>
      </c>
      <c r="F13" s="69">
        <v>5.207</v>
      </c>
      <c r="G13" s="46">
        <v>30.55</v>
      </c>
      <c r="H13" s="35">
        <f t="shared" ref="H13:I13" si="11">((F13-B13)/B13)*100</f>
        <v>-2.527143392</v>
      </c>
      <c r="I13" s="35">
        <f t="shared" si="11"/>
        <v>10.1297765</v>
      </c>
    </row>
    <row r="14" ht="16.5" customHeight="1">
      <c r="A14" s="45" t="s">
        <v>105</v>
      </c>
      <c r="B14" s="69">
        <v>8.672</v>
      </c>
      <c r="C14" s="46">
        <v>32.69</v>
      </c>
      <c r="D14" s="69">
        <v>9.737</v>
      </c>
      <c r="E14" s="46">
        <v>34.74</v>
      </c>
      <c r="F14" s="69">
        <v>10.537</v>
      </c>
      <c r="G14" s="46">
        <v>35.99</v>
      </c>
      <c r="H14" s="35">
        <f t="shared" ref="H14:I14" si="12">((F14-B14)/B14)*100</f>
        <v>21.50599631</v>
      </c>
      <c r="I14" s="35">
        <f t="shared" si="12"/>
        <v>10.09483022</v>
      </c>
    </row>
    <row r="15" ht="16.5" customHeight="1">
      <c r="A15" s="45" t="s">
        <v>58</v>
      </c>
      <c r="B15" s="69">
        <v>4.88</v>
      </c>
      <c r="C15" s="46">
        <v>25.18</v>
      </c>
      <c r="D15" s="69">
        <v>4.886</v>
      </c>
      <c r="E15" s="46">
        <v>26.68</v>
      </c>
      <c r="F15" s="69">
        <v>5.005</v>
      </c>
      <c r="G15" s="46">
        <v>27.72</v>
      </c>
      <c r="H15" s="35">
        <f t="shared" ref="H15:I15" si="13">((F15-B15)/B15)*100</f>
        <v>2.56147541</v>
      </c>
      <c r="I15" s="35">
        <f t="shared" si="13"/>
        <v>10.08737093</v>
      </c>
    </row>
    <row r="16" ht="16.5" customHeight="1">
      <c r="A16" s="45" t="s">
        <v>56</v>
      </c>
      <c r="B16" s="69">
        <v>5.157</v>
      </c>
      <c r="C16" s="46">
        <v>30.93</v>
      </c>
      <c r="D16" s="69">
        <v>4.662</v>
      </c>
      <c r="E16" s="46">
        <v>32.64</v>
      </c>
      <c r="F16" s="69">
        <v>4.657</v>
      </c>
      <c r="G16" s="46">
        <v>34.02</v>
      </c>
      <c r="H16" s="35">
        <f t="shared" ref="H16:I16" si="14">((F16-B16)/B16)*100</f>
        <v>-9.695559434</v>
      </c>
      <c r="I16" s="35">
        <f t="shared" si="14"/>
        <v>9.990300679</v>
      </c>
    </row>
    <row r="17" ht="16.5" customHeight="1">
      <c r="A17" s="45" t="s">
        <v>44</v>
      </c>
      <c r="B17" s="69">
        <v>5.209</v>
      </c>
      <c r="C17" s="46">
        <v>39.5</v>
      </c>
      <c r="D17" s="69">
        <v>5.662</v>
      </c>
      <c r="E17" s="46">
        <v>40.15</v>
      </c>
      <c r="F17" s="69">
        <v>5.729</v>
      </c>
      <c r="G17" s="46">
        <v>43.29</v>
      </c>
      <c r="H17" s="35">
        <f t="shared" ref="H17:I17" si="15">((F17-B17)/B17)*100</f>
        <v>9.982722212</v>
      </c>
      <c r="I17" s="35">
        <f t="shared" si="15"/>
        <v>9.594936709</v>
      </c>
    </row>
    <row r="18" ht="16.5" customHeight="1">
      <c r="A18" s="45" t="s">
        <v>134</v>
      </c>
      <c r="B18" s="69">
        <v>6.759</v>
      </c>
      <c r="C18" s="46">
        <v>28.73</v>
      </c>
      <c r="D18" s="69">
        <v>6.643</v>
      </c>
      <c r="E18" s="46">
        <v>30.3</v>
      </c>
      <c r="F18" s="69">
        <v>6.599</v>
      </c>
      <c r="G18" s="46">
        <v>31.39</v>
      </c>
      <c r="H18" s="35">
        <f t="shared" ref="H18:I18" si="16">((F18-B18)/B18)*100</f>
        <v>-2.367214085</v>
      </c>
      <c r="I18" s="35">
        <f t="shared" si="16"/>
        <v>9.258614688</v>
      </c>
    </row>
    <row r="19" ht="16.5" customHeight="1">
      <c r="A19" s="45" t="s">
        <v>80</v>
      </c>
      <c r="B19" s="69">
        <v>4.827</v>
      </c>
      <c r="C19" s="46">
        <v>33.22</v>
      </c>
      <c r="D19" s="69">
        <v>5.371</v>
      </c>
      <c r="E19" s="46">
        <v>34.8</v>
      </c>
      <c r="F19" s="69">
        <v>4.954</v>
      </c>
      <c r="G19" s="46">
        <v>36.28</v>
      </c>
      <c r="H19" s="35">
        <f t="shared" ref="H19:I19" si="17">((F19-B19)/B19)*100</f>
        <v>2.631033768</v>
      </c>
      <c r="I19" s="35">
        <f t="shared" si="17"/>
        <v>9.211318483</v>
      </c>
    </row>
    <row r="20" ht="16.5" customHeight="1">
      <c r="A20" s="45" t="s">
        <v>118</v>
      </c>
      <c r="B20" s="69">
        <v>5.973</v>
      </c>
      <c r="C20" s="46">
        <v>27.3</v>
      </c>
      <c r="D20" s="69">
        <v>6.158</v>
      </c>
      <c r="E20" s="46">
        <v>27.72</v>
      </c>
      <c r="F20" s="69">
        <v>6.51</v>
      </c>
      <c r="G20" s="46">
        <v>29.8</v>
      </c>
      <c r="H20" s="35">
        <f t="shared" ref="H20:I20" si="18">((F20-B20)/B20)*100</f>
        <v>8.990457057</v>
      </c>
      <c r="I20" s="35">
        <f t="shared" si="18"/>
        <v>9.157509158</v>
      </c>
    </row>
    <row r="21" ht="16.5" customHeight="1">
      <c r="A21" s="45" t="s">
        <v>100</v>
      </c>
      <c r="B21" s="69">
        <v>5.103</v>
      </c>
      <c r="C21" s="46">
        <v>29.22</v>
      </c>
      <c r="D21" s="69">
        <v>5.092</v>
      </c>
      <c r="E21" s="46">
        <v>30.5</v>
      </c>
      <c r="F21" s="69">
        <v>4.867</v>
      </c>
      <c r="G21" s="46">
        <v>31.63</v>
      </c>
      <c r="H21" s="35">
        <f t="shared" ref="H21:I21" si="19">((F21-B21)/B21)*100</f>
        <v>-4.624730551</v>
      </c>
      <c r="I21" s="35">
        <f t="shared" si="19"/>
        <v>8.247775496</v>
      </c>
    </row>
    <row r="22" ht="16.5" customHeight="1">
      <c r="A22" s="45" t="s">
        <v>46</v>
      </c>
      <c r="B22" s="69">
        <v>5.635</v>
      </c>
      <c r="C22" s="46">
        <v>28.57</v>
      </c>
      <c r="D22" s="69">
        <v>6.657</v>
      </c>
      <c r="E22" s="46">
        <v>29.58</v>
      </c>
      <c r="F22" s="69">
        <v>6.526</v>
      </c>
      <c r="G22" s="46">
        <v>30.88</v>
      </c>
      <c r="H22" s="35">
        <f t="shared" ref="H22:I22" si="20">((F22-B22)/B22)*100</f>
        <v>15.81188997</v>
      </c>
      <c r="I22" s="35">
        <f t="shared" si="20"/>
        <v>8.08540427</v>
      </c>
    </row>
    <row r="23" ht="16.5" customHeight="1">
      <c r="A23" s="45" t="s">
        <v>114</v>
      </c>
      <c r="B23" s="69">
        <v>4.81</v>
      </c>
      <c r="C23" s="46">
        <v>33.1</v>
      </c>
      <c r="D23" s="69">
        <v>4.667</v>
      </c>
      <c r="E23" s="46">
        <v>34.02</v>
      </c>
      <c r="F23" s="69">
        <v>4.825</v>
      </c>
      <c r="G23" s="46">
        <v>35.65</v>
      </c>
      <c r="H23" s="35">
        <f t="shared" ref="H23:I23" si="21">((F23-B23)/B23)*100</f>
        <v>0.3118503119</v>
      </c>
      <c r="I23" s="35">
        <f t="shared" si="21"/>
        <v>7.703927492</v>
      </c>
    </row>
    <row r="24" ht="16.5" customHeight="1">
      <c r="A24" s="45" t="s">
        <v>76</v>
      </c>
      <c r="B24" s="69">
        <v>5.995</v>
      </c>
      <c r="C24" s="46">
        <v>27.88</v>
      </c>
      <c r="D24" s="69">
        <v>5.657</v>
      </c>
      <c r="E24" s="46">
        <v>28.62</v>
      </c>
      <c r="F24" s="69">
        <v>5.453</v>
      </c>
      <c r="G24" s="46">
        <v>29.98</v>
      </c>
      <c r="H24" s="35">
        <f t="shared" ref="H24:I24" si="22">((F24-B24)/B24)*100</f>
        <v>-9.040867389</v>
      </c>
      <c r="I24" s="35">
        <f t="shared" si="22"/>
        <v>7.532281205</v>
      </c>
    </row>
    <row r="25" ht="16.5" customHeight="1">
      <c r="A25" s="45" t="s">
        <v>48</v>
      </c>
      <c r="B25" s="69">
        <v>6.021</v>
      </c>
      <c r="C25" s="46">
        <v>23.94</v>
      </c>
      <c r="D25" s="69">
        <v>6.728</v>
      </c>
      <c r="E25" s="46">
        <v>25.41</v>
      </c>
      <c r="F25" s="69">
        <v>5.753</v>
      </c>
      <c r="G25" s="46">
        <v>25.71</v>
      </c>
      <c r="H25" s="35">
        <f t="shared" ref="H25:I25" si="23">((F25-B25)/B25)*100</f>
        <v>-4.451087859</v>
      </c>
      <c r="I25" s="35">
        <f t="shared" si="23"/>
        <v>7.393483709</v>
      </c>
    </row>
    <row r="26" ht="16.5" customHeight="1">
      <c r="A26" s="45" t="s">
        <v>123</v>
      </c>
      <c r="B26" s="69">
        <v>4.467</v>
      </c>
      <c r="C26" s="46">
        <v>30.94</v>
      </c>
      <c r="D26" s="69">
        <v>4.913</v>
      </c>
      <c r="E26" s="46">
        <v>31.71</v>
      </c>
      <c r="F26" s="69">
        <v>5.216</v>
      </c>
      <c r="G26" s="46">
        <v>33.09</v>
      </c>
      <c r="H26" s="35">
        <f t="shared" ref="H26:I26" si="24">((F26-B26)/B26)*100</f>
        <v>16.76740542</v>
      </c>
      <c r="I26" s="35">
        <f t="shared" si="24"/>
        <v>6.94893342</v>
      </c>
    </row>
    <row r="27" ht="16.5" customHeight="1">
      <c r="A27" s="45" t="s">
        <v>94</v>
      </c>
      <c r="B27" s="69">
        <v>6.152</v>
      </c>
      <c r="C27" s="46">
        <v>28.79</v>
      </c>
      <c r="D27" s="69">
        <v>6.108</v>
      </c>
      <c r="E27" s="46">
        <v>29.76</v>
      </c>
      <c r="F27" s="69">
        <v>6.286</v>
      </c>
      <c r="G27" s="46">
        <v>30.75</v>
      </c>
      <c r="H27" s="35">
        <f t="shared" ref="H27:I27" si="25">((F27-B27)/B27)*100</f>
        <v>2.178153446</v>
      </c>
      <c r="I27" s="35">
        <f t="shared" si="25"/>
        <v>6.807919416</v>
      </c>
    </row>
    <row r="28" ht="16.5" customHeight="1">
      <c r="A28" s="45" t="s">
        <v>112</v>
      </c>
      <c r="B28" s="69">
        <v>3.291</v>
      </c>
      <c r="C28" s="46">
        <v>26.61</v>
      </c>
      <c r="D28" s="69">
        <v>3.446</v>
      </c>
      <c r="E28" s="46">
        <v>28.09</v>
      </c>
      <c r="F28" s="69">
        <v>3.474</v>
      </c>
      <c r="G28" s="46">
        <v>28.38</v>
      </c>
      <c r="H28" s="35">
        <f t="shared" ref="H28:I28" si="26">((F28-B28)/B28)*100</f>
        <v>5.560619872</v>
      </c>
      <c r="I28" s="35">
        <f t="shared" si="26"/>
        <v>6.651634724</v>
      </c>
    </row>
    <row r="29" ht="16.5" customHeight="1">
      <c r="A29" s="45" t="s">
        <v>108</v>
      </c>
      <c r="B29" s="69">
        <v>5.384</v>
      </c>
      <c r="C29" s="46">
        <v>42.61</v>
      </c>
      <c r="D29" s="69">
        <v>5.192</v>
      </c>
      <c r="E29" s="46">
        <v>45.12</v>
      </c>
      <c r="F29" s="69">
        <v>5.458</v>
      </c>
      <c r="G29" s="46">
        <v>45.42</v>
      </c>
      <c r="H29" s="35">
        <f t="shared" ref="H29:I29" si="27">((F29-B29)/B29)*100</f>
        <v>1.374442793</v>
      </c>
      <c r="I29" s="35">
        <f t="shared" si="27"/>
        <v>6.594696081</v>
      </c>
    </row>
    <row r="30" ht="16.5" customHeight="1">
      <c r="A30" s="45" t="s">
        <v>90</v>
      </c>
      <c r="B30" s="69">
        <v>4.309</v>
      </c>
      <c r="C30" s="46">
        <v>32.62</v>
      </c>
      <c r="D30" s="69">
        <v>4.337</v>
      </c>
      <c r="E30" s="46">
        <v>34.24</v>
      </c>
      <c r="F30" s="69">
        <v>4.354</v>
      </c>
      <c r="G30" s="46">
        <v>34.77</v>
      </c>
      <c r="H30" s="35">
        <f t="shared" ref="H30:I30" si="28">((F30-B30)/B30)*100</f>
        <v>1.04432583</v>
      </c>
      <c r="I30" s="35">
        <f t="shared" si="28"/>
        <v>6.591048437</v>
      </c>
    </row>
    <row r="31" ht="16.5" customHeight="1">
      <c r="A31" s="45" t="s">
        <v>119</v>
      </c>
      <c r="B31" s="69">
        <v>4.337</v>
      </c>
      <c r="C31" s="46">
        <v>28.72</v>
      </c>
      <c r="D31" s="69">
        <v>5.052</v>
      </c>
      <c r="E31" s="46">
        <v>30.21</v>
      </c>
      <c r="F31" s="69">
        <v>4.977</v>
      </c>
      <c r="G31" s="46">
        <v>30.49</v>
      </c>
      <c r="H31" s="35">
        <f t="shared" ref="H31:I31" si="29">((F31-B31)/B31)*100</f>
        <v>14.75674429</v>
      </c>
      <c r="I31" s="35">
        <f t="shared" si="29"/>
        <v>6.162952646</v>
      </c>
    </row>
    <row r="32" ht="16.5" customHeight="1">
      <c r="A32" s="45" t="s">
        <v>111</v>
      </c>
      <c r="B32" s="69">
        <v>4.567</v>
      </c>
      <c r="C32" s="46">
        <v>25.78</v>
      </c>
      <c r="D32" s="69">
        <v>4.831</v>
      </c>
      <c r="E32" s="46">
        <v>26.62</v>
      </c>
      <c r="F32" s="69">
        <v>4.378</v>
      </c>
      <c r="G32" s="46">
        <v>27.33</v>
      </c>
      <c r="H32" s="35">
        <f t="shared" ref="H32:I32" si="30">((F32-B32)/B32)*100</f>
        <v>-4.13838406</v>
      </c>
      <c r="I32" s="35">
        <f t="shared" si="30"/>
        <v>6.012412723</v>
      </c>
    </row>
    <row r="33" ht="16.5" customHeight="1">
      <c r="A33" s="45" t="s">
        <v>52</v>
      </c>
      <c r="B33" s="69">
        <v>5.687</v>
      </c>
      <c r="C33" s="46">
        <v>30.17</v>
      </c>
      <c r="D33" s="69">
        <v>5.929</v>
      </c>
      <c r="E33" s="46">
        <v>31.07</v>
      </c>
      <c r="F33" s="69">
        <v>5.92</v>
      </c>
      <c r="G33" s="46">
        <v>31.88</v>
      </c>
      <c r="H33" s="35">
        <f t="shared" ref="H33:I33" si="31">((F33-B33)/B33)*100</f>
        <v>4.097063478</v>
      </c>
      <c r="I33" s="35">
        <f t="shared" si="31"/>
        <v>5.667882002</v>
      </c>
    </row>
    <row r="34" ht="16.5" customHeight="1">
      <c r="A34" s="45" t="s">
        <v>42</v>
      </c>
      <c r="B34" s="69">
        <v>4.991</v>
      </c>
      <c r="C34" s="46">
        <v>26.2</v>
      </c>
      <c r="D34" s="69">
        <v>4.659</v>
      </c>
      <c r="E34" s="46">
        <v>27.09</v>
      </c>
      <c r="F34" s="69">
        <v>5.155</v>
      </c>
      <c r="G34" s="46">
        <v>27.65</v>
      </c>
      <c r="H34" s="35">
        <f t="shared" ref="H34:I34" si="32">((F34-B34)/B34)*100</f>
        <v>3.285914646</v>
      </c>
      <c r="I34" s="35">
        <f t="shared" si="32"/>
        <v>5.534351145</v>
      </c>
    </row>
    <row r="35" ht="16.5" customHeight="1">
      <c r="A35" s="45" t="s">
        <v>60</v>
      </c>
      <c r="B35" s="69">
        <v>4.415</v>
      </c>
      <c r="C35" s="46">
        <v>27.85</v>
      </c>
      <c r="D35" s="69">
        <v>4.27</v>
      </c>
      <c r="E35" s="46">
        <v>29.61</v>
      </c>
      <c r="F35" s="69">
        <v>4.428</v>
      </c>
      <c r="G35" s="46">
        <v>29.37</v>
      </c>
      <c r="H35" s="35">
        <f t="shared" ref="H35:I35" si="33">((F35-B35)/B35)*100</f>
        <v>0.2944507361</v>
      </c>
      <c r="I35" s="35">
        <f t="shared" si="33"/>
        <v>5.457809695</v>
      </c>
    </row>
    <row r="36" ht="16.5" customHeight="1">
      <c r="A36" s="45" t="s">
        <v>62</v>
      </c>
      <c r="B36" s="69">
        <v>5.351</v>
      </c>
      <c r="C36" s="46">
        <v>42.44</v>
      </c>
      <c r="D36" s="69">
        <v>4.866</v>
      </c>
      <c r="E36" s="46">
        <v>41.68</v>
      </c>
      <c r="F36" s="69">
        <v>4.899</v>
      </c>
      <c r="G36" s="46">
        <v>44.65</v>
      </c>
      <c r="H36" s="35">
        <f t="shared" ref="H36:I36" si="34">((F36-B36)/B36)*100</f>
        <v>-8.447019249</v>
      </c>
      <c r="I36" s="35">
        <f t="shared" si="34"/>
        <v>5.207351555</v>
      </c>
    </row>
    <row r="37" ht="16.5" customHeight="1">
      <c r="A37" s="45" t="s">
        <v>120</v>
      </c>
      <c r="B37" s="69">
        <v>5.206</v>
      </c>
      <c r="C37" s="46">
        <v>27.09</v>
      </c>
      <c r="D37" s="69">
        <v>5.191</v>
      </c>
      <c r="E37" s="46">
        <v>27.52</v>
      </c>
      <c r="F37" s="69">
        <v>5.456</v>
      </c>
      <c r="G37" s="46">
        <v>28.5</v>
      </c>
      <c r="H37" s="35">
        <f t="shared" ref="H37:I37" si="35">((F37-B37)/B37)*100</f>
        <v>4.802151364</v>
      </c>
      <c r="I37" s="35">
        <f t="shared" si="35"/>
        <v>5.204872647</v>
      </c>
    </row>
    <row r="38" ht="16.5" customHeight="1">
      <c r="A38" s="45" t="s">
        <v>121</v>
      </c>
      <c r="B38" s="69">
        <v>5.563</v>
      </c>
      <c r="C38" s="46">
        <v>31.12</v>
      </c>
      <c r="D38" s="69">
        <v>5.977</v>
      </c>
      <c r="E38" s="46">
        <v>32.03</v>
      </c>
      <c r="F38" s="69">
        <v>5.751</v>
      </c>
      <c r="G38" s="46">
        <v>32.62</v>
      </c>
      <c r="H38" s="35">
        <f t="shared" ref="H38:I38" si="36">((F38-B38)/B38)*100</f>
        <v>3.379471508</v>
      </c>
      <c r="I38" s="35">
        <f t="shared" si="36"/>
        <v>4.820051414</v>
      </c>
    </row>
    <row r="39" ht="16.5" customHeight="1">
      <c r="A39" s="45" t="s">
        <v>74</v>
      </c>
      <c r="B39" s="69">
        <v>4.901</v>
      </c>
      <c r="C39" s="46">
        <v>28.18</v>
      </c>
      <c r="D39" s="69">
        <v>5.176</v>
      </c>
      <c r="E39" s="46">
        <v>29.17</v>
      </c>
      <c r="F39" s="69">
        <v>5.516</v>
      </c>
      <c r="G39" s="46">
        <v>29.52</v>
      </c>
      <c r="H39" s="35">
        <f t="shared" ref="H39:I39" si="37">((F39-B39)/B39)*100</f>
        <v>12.5484595</v>
      </c>
      <c r="I39" s="35">
        <f t="shared" si="37"/>
        <v>4.755145493</v>
      </c>
    </row>
    <row r="40" ht="16.5" customHeight="1">
      <c r="A40" s="45" t="s">
        <v>66</v>
      </c>
      <c r="B40" s="69">
        <v>3.641</v>
      </c>
      <c r="C40" s="46">
        <v>42.33</v>
      </c>
      <c r="D40" s="69">
        <v>3.772</v>
      </c>
      <c r="E40" s="46">
        <v>42.88</v>
      </c>
      <c r="F40" s="69">
        <v>3.792</v>
      </c>
      <c r="G40" s="46">
        <v>44.34</v>
      </c>
      <c r="H40" s="35">
        <f t="shared" ref="H40:I40" si="38">((F40-B40)/B40)*100</f>
        <v>4.147212304</v>
      </c>
      <c r="I40" s="35">
        <f t="shared" si="38"/>
        <v>4.748405386</v>
      </c>
    </row>
    <row r="41" ht="16.5" customHeight="1">
      <c r="A41" s="45" t="s">
        <v>127</v>
      </c>
      <c r="B41" s="69">
        <v>3.491</v>
      </c>
      <c r="C41" s="46">
        <v>35.15</v>
      </c>
      <c r="D41" s="69">
        <v>3.635</v>
      </c>
      <c r="E41" s="46">
        <v>35.34</v>
      </c>
      <c r="F41" s="69">
        <v>3.748</v>
      </c>
      <c r="G41" s="46">
        <v>36.43</v>
      </c>
      <c r="H41" s="35">
        <f t="shared" ref="H41:I41" si="39">((F41-B41)/B41)*100</f>
        <v>7.361787453</v>
      </c>
      <c r="I41" s="35">
        <f t="shared" si="39"/>
        <v>3.641536273</v>
      </c>
    </row>
    <row r="42" ht="16.5" customHeight="1">
      <c r="A42" s="45" t="s">
        <v>68</v>
      </c>
      <c r="B42" s="69">
        <v>4.958</v>
      </c>
      <c r="C42" s="46">
        <v>32.91</v>
      </c>
      <c r="D42" s="69">
        <v>5.45</v>
      </c>
      <c r="E42" s="46">
        <v>32.64</v>
      </c>
      <c r="F42" s="69">
        <v>5.941</v>
      </c>
      <c r="G42" s="46">
        <v>34.05</v>
      </c>
      <c r="H42" s="35">
        <f t="shared" ref="H42:I42" si="40">((F42-B42)/B42)*100</f>
        <v>19.82654296</v>
      </c>
      <c r="I42" s="35">
        <f t="shared" si="40"/>
        <v>3.463992707</v>
      </c>
    </row>
    <row r="43" ht="16.5" customHeight="1">
      <c r="A43" s="45" t="s">
        <v>139</v>
      </c>
      <c r="B43" s="69">
        <v>5.165</v>
      </c>
      <c r="C43" s="46">
        <v>31.58</v>
      </c>
      <c r="D43" s="69">
        <v>5.722</v>
      </c>
      <c r="E43" s="46">
        <v>31.68</v>
      </c>
      <c r="F43" s="69">
        <v>6.11</v>
      </c>
      <c r="G43" s="46">
        <v>32.61</v>
      </c>
      <c r="H43" s="35">
        <f t="shared" ref="H43:I43" si="41">((F43-B43)/B43)*100</f>
        <v>18.29622459</v>
      </c>
      <c r="I43" s="35">
        <f t="shared" si="41"/>
        <v>3.261557948</v>
      </c>
    </row>
    <row r="44" ht="16.5" customHeight="1">
      <c r="A44" s="45" t="s">
        <v>86</v>
      </c>
      <c r="B44" s="69">
        <v>3.915</v>
      </c>
      <c r="C44" s="46">
        <v>37.88</v>
      </c>
      <c r="D44" s="69">
        <v>4.44</v>
      </c>
      <c r="E44" s="46">
        <v>39.92</v>
      </c>
      <c r="F44" s="69">
        <v>4.863</v>
      </c>
      <c r="G44" s="46">
        <v>38.86</v>
      </c>
      <c r="H44" s="35">
        <f t="shared" ref="H44:I44" si="42">((F44-B44)/B44)*100</f>
        <v>24.21455939</v>
      </c>
      <c r="I44" s="35">
        <f t="shared" si="42"/>
        <v>2.587117212</v>
      </c>
    </row>
    <row r="45" ht="16.5" customHeight="1">
      <c r="A45" s="45" t="s">
        <v>141</v>
      </c>
      <c r="B45" s="69">
        <v>4.029</v>
      </c>
      <c r="C45" s="46">
        <v>34.65</v>
      </c>
      <c r="D45" s="69">
        <v>4.319</v>
      </c>
      <c r="E45" s="46">
        <v>34.98</v>
      </c>
      <c r="F45" s="69">
        <v>4.866</v>
      </c>
      <c r="G45" s="46">
        <v>35.49</v>
      </c>
      <c r="H45" s="35">
        <f t="shared" ref="H45:I45" si="43">((F45-B45)/B45)*100</f>
        <v>20.7743857</v>
      </c>
      <c r="I45" s="35">
        <f t="shared" si="43"/>
        <v>2.424242424</v>
      </c>
    </row>
    <row r="46" ht="16.5" customHeight="1">
      <c r="A46" s="45" t="s">
        <v>50</v>
      </c>
      <c r="B46" s="69">
        <v>4.061</v>
      </c>
      <c r="C46" s="46">
        <v>40.54</v>
      </c>
      <c r="D46" s="69">
        <v>4.066</v>
      </c>
      <c r="E46" s="46">
        <v>41.24</v>
      </c>
      <c r="F46" s="69">
        <v>4.025</v>
      </c>
      <c r="G46" s="46">
        <v>41.28</v>
      </c>
      <c r="H46" s="35">
        <f t="shared" ref="H46:I46" si="44">((F46-B46)/B46)*100</f>
        <v>-0.8864811623</v>
      </c>
      <c r="I46" s="35">
        <f t="shared" si="44"/>
        <v>1.825357671</v>
      </c>
    </row>
    <row r="47" ht="16.5" customHeight="1">
      <c r="A47" s="45" t="s">
        <v>88</v>
      </c>
      <c r="B47" s="69">
        <v>4.386</v>
      </c>
      <c r="C47" s="46">
        <v>27.39</v>
      </c>
      <c r="D47" s="69">
        <v>4.876</v>
      </c>
      <c r="E47" s="46">
        <v>26.35</v>
      </c>
      <c r="F47" s="69">
        <v>5.682</v>
      </c>
      <c r="G47" s="46">
        <v>27.88</v>
      </c>
      <c r="H47" s="35">
        <f t="shared" ref="H47:I47" si="45">((F47-B47)/B47)*100</f>
        <v>29.54856361</v>
      </c>
      <c r="I47" s="35">
        <f t="shared" si="45"/>
        <v>1.788974078</v>
      </c>
    </row>
    <row r="48" ht="16.5" customHeight="1">
      <c r="A48" s="45" t="s">
        <v>107</v>
      </c>
      <c r="B48" s="69">
        <v>4.33</v>
      </c>
      <c r="C48" s="46">
        <v>40.17</v>
      </c>
      <c r="D48" s="69">
        <v>4.232</v>
      </c>
      <c r="E48" s="46">
        <v>40.07</v>
      </c>
      <c r="F48" s="69">
        <v>4.142</v>
      </c>
      <c r="G48" s="46">
        <v>40.8</v>
      </c>
      <c r="H48" s="35">
        <f t="shared" ref="H48:I48" si="46">((F48-B48)/B48)*100</f>
        <v>-4.341801386</v>
      </c>
      <c r="I48" s="35">
        <f t="shared" si="46"/>
        <v>1.568334578</v>
      </c>
    </row>
    <row r="49" ht="16.5" customHeight="1">
      <c r="A49" s="45" t="s">
        <v>104</v>
      </c>
      <c r="B49" s="69">
        <v>5.987</v>
      </c>
      <c r="C49" s="46">
        <v>28.31</v>
      </c>
      <c r="D49" s="69">
        <v>5.911</v>
      </c>
      <c r="E49" s="46">
        <v>28.57</v>
      </c>
      <c r="F49" s="69">
        <v>5.764</v>
      </c>
      <c r="G49" s="46">
        <v>28.66</v>
      </c>
      <c r="H49" s="35">
        <f t="shared" ref="H49:I49" si="47">((F49-B49)/B49)*100</f>
        <v>-3.72473693</v>
      </c>
      <c r="I49" s="35">
        <f t="shared" si="47"/>
        <v>1.236312257</v>
      </c>
    </row>
    <row r="50" ht="16.5" customHeight="1">
      <c r="A50" s="45" t="s">
        <v>82</v>
      </c>
      <c r="B50" s="69">
        <v>5.253</v>
      </c>
      <c r="C50" s="46">
        <v>39.35</v>
      </c>
      <c r="D50" s="69">
        <v>4.549</v>
      </c>
      <c r="E50" s="46">
        <v>39.49</v>
      </c>
      <c r="F50" s="69">
        <v>4.895</v>
      </c>
      <c r="G50" s="46">
        <v>39.21</v>
      </c>
      <c r="H50" s="35">
        <f t="shared" ref="H50:I50" si="48">((F50-B50)/B50)*100</f>
        <v>-6.815153246</v>
      </c>
      <c r="I50" s="35">
        <f t="shared" si="48"/>
        <v>-0.3557814485</v>
      </c>
    </row>
    <row r="51" ht="16.5" customHeight="1">
      <c r="A51" s="45" t="s">
        <v>70</v>
      </c>
      <c r="B51" s="69">
        <v>4.825</v>
      </c>
      <c r="C51" s="46">
        <v>30.68</v>
      </c>
      <c r="D51" s="69">
        <v>5.701</v>
      </c>
      <c r="E51" s="46">
        <v>30.72</v>
      </c>
      <c r="F51" s="69">
        <v>6.612</v>
      </c>
      <c r="G51" s="46">
        <v>30.38</v>
      </c>
      <c r="H51" s="35">
        <f t="shared" ref="H51:I51" si="49">((F51-B51)/B51)*100</f>
        <v>37.03626943</v>
      </c>
      <c r="I51" s="35">
        <f t="shared" si="49"/>
        <v>-0.9778357236</v>
      </c>
      <c r="J51" s="70"/>
    </row>
    <row r="52" ht="16.5" customHeight="1">
      <c r="A52" s="45" t="s">
        <v>115</v>
      </c>
      <c r="B52" s="69">
        <v>7.614</v>
      </c>
      <c r="C52" s="46">
        <v>35.02</v>
      </c>
      <c r="D52" s="69">
        <v>7.417</v>
      </c>
      <c r="E52" s="46">
        <v>33.81</v>
      </c>
      <c r="F52" s="69">
        <v>8.306</v>
      </c>
      <c r="G52" s="46">
        <v>33.87</v>
      </c>
      <c r="H52" s="35">
        <f t="shared" ref="H52:I52" si="50">((F52-B52)/B52)*100</f>
        <v>9.088521145</v>
      </c>
      <c r="I52" s="35">
        <f t="shared" si="50"/>
        <v>-3.283837807</v>
      </c>
    </row>
    <row r="53" ht="16.5" customHeight="1">
      <c r="B53" s="24"/>
      <c r="C53" s="24"/>
      <c r="D53" s="24"/>
      <c r="E53" s="24"/>
      <c r="F53" s="24"/>
      <c r="G53" s="24"/>
      <c r="H53" s="48"/>
      <c r="I53" s="48"/>
    </row>
    <row r="54" ht="16.5" customHeight="1">
      <c r="B54" s="24"/>
      <c r="C54" s="24"/>
      <c r="D54" s="24"/>
      <c r="E54" s="24"/>
      <c r="F54" s="24"/>
      <c r="G54" s="24"/>
    </row>
    <row r="55" ht="16.5" customHeight="1">
      <c r="B55" s="24"/>
      <c r="C55" s="24"/>
      <c r="D55" s="24"/>
      <c r="E55" s="24"/>
      <c r="F55" s="24"/>
      <c r="G55" s="24"/>
    </row>
    <row r="56" ht="16.5" customHeight="1">
      <c r="B56" s="24"/>
      <c r="C56" s="24"/>
      <c r="D56" s="24"/>
      <c r="E56" s="24"/>
      <c r="F56" s="24"/>
      <c r="G56" s="24"/>
      <c r="H56" s="48"/>
      <c r="I56" s="48"/>
    </row>
    <row r="57" ht="16.5" customHeight="1">
      <c r="B57" s="24"/>
      <c r="C57" s="24"/>
      <c r="D57" s="24"/>
      <c r="E57" s="24"/>
      <c r="F57" s="24"/>
      <c r="G57" s="24"/>
      <c r="H57" s="48"/>
      <c r="I57" s="48"/>
    </row>
    <row r="58" ht="16.5" customHeight="1">
      <c r="B58" s="24"/>
      <c r="C58" s="24"/>
      <c r="D58" s="24"/>
      <c r="E58" s="24"/>
      <c r="F58" s="24"/>
      <c r="G58" s="24"/>
      <c r="H58" s="48"/>
      <c r="I58" s="48"/>
    </row>
    <row r="59" ht="16.5" customHeight="1">
      <c r="B59" s="24"/>
      <c r="C59" s="24"/>
      <c r="D59" s="24"/>
      <c r="E59" s="24"/>
      <c r="F59" s="24"/>
      <c r="G59" s="24"/>
      <c r="H59" s="48"/>
      <c r="I59" s="48"/>
    </row>
    <row r="60" ht="16.5" customHeight="1">
      <c r="B60" s="24"/>
      <c r="C60" s="24"/>
      <c r="D60" s="24"/>
      <c r="E60" s="24"/>
      <c r="F60" s="24"/>
      <c r="G60" s="24"/>
      <c r="H60" s="48"/>
      <c r="I60" s="48"/>
    </row>
    <row r="61" ht="16.5" customHeight="1">
      <c r="B61" s="24"/>
      <c r="C61" s="24"/>
      <c r="D61" s="24"/>
      <c r="E61" s="24"/>
      <c r="F61" s="24"/>
      <c r="G61" s="24"/>
      <c r="H61" s="48"/>
      <c r="I61" s="48"/>
    </row>
    <row r="62" ht="16.5" customHeight="1">
      <c r="B62" s="24"/>
      <c r="C62" s="24"/>
      <c r="D62" s="24"/>
      <c r="E62" s="24"/>
      <c r="F62" s="24"/>
      <c r="G62" s="24"/>
      <c r="H62" s="48"/>
      <c r="I62" s="48"/>
    </row>
    <row r="63" ht="16.5" customHeight="1">
      <c r="B63" s="24"/>
      <c r="C63" s="24"/>
      <c r="D63" s="24"/>
      <c r="E63" s="24"/>
      <c r="F63" s="24"/>
      <c r="G63" s="24"/>
      <c r="H63" s="48"/>
      <c r="I63" s="48"/>
    </row>
    <row r="64" ht="16.5" customHeight="1">
      <c r="B64" s="24"/>
      <c r="C64" s="24"/>
      <c r="D64" s="24"/>
      <c r="E64" s="24"/>
      <c r="F64" s="24"/>
      <c r="G64" s="24"/>
      <c r="H64" s="48"/>
      <c r="I64" s="48"/>
    </row>
    <row r="65" ht="16.5" customHeight="1">
      <c r="B65" s="24"/>
      <c r="C65" s="24"/>
      <c r="D65" s="24"/>
      <c r="E65" s="24"/>
      <c r="F65" s="24"/>
      <c r="G65" s="24"/>
      <c r="H65" s="48"/>
      <c r="I65" s="48"/>
    </row>
    <row r="66" ht="16.5" customHeight="1">
      <c r="B66" s="24"/>
      <c r="C66" s="24"/>
      <c r="D66" s="24"/>
      <c r="E66" s="24"/>
      <c r="F66" s="24"/>
      <c r="G66" s="24"/>
      <c r="H66" s="48"/>
      <c r="I66" s="48"/>
    </row>
    <row r="67" ht="16.5" customHeight="1">
      <c r="B67" s="24"/>
      <c r="C67" s="24"/>
      <c r="D67" s="24"/>
      <c r="E67" s="24"/>
      <c r="F67" s="24"/>
      <c r="G67" s="24"/>
      <c r="H67" s="48"/>
      <c r="I67" s="48"/>
    </row>
    <row r="68" ht="16.5" customHeight="1">
      <c r="B68" s="24"/>
      <c r="C68" s="24"/>
      <c r="D68" s="24"/>
      <c r="E68" s="24"/>
      <c r="F68" s="24"/>
      <c r="G68" s="24"/>
      <c r="H68" s="48"/>
      <c r="I68" s="48"/>
    </row>
    <row r="69" ht="16.5" customHeight="1">
      <c r="B69" s="24"/>
      <c r="C69" s="24"/>
      <c r="D69" s="24"/>
      <c r="E69" s="24"/>
      <c r="F69" s="24"/>
      <c r="G69" s="24"/>
      <c r="H69" s="48"/>
      <c r="I69" s="48"/>
    </row>
    <row r="70" ht="16.5" customHeight="1">
      <c r="B70" s="24"/>
      <c r="C70" s="24"/>
      <c r="D70" s="24"/>
      <c r="E70" s="24"/>
      <c r="F70" s="24"/>
      <c r="G70" s="24"/>
      <c r="H70" s="48"/>
      <c r="I70" s="48"/>
    </row>
    <row r="71" ht="16.5" customHeight="1">
      <c r="B71" s="24"/>
      <c r="C71" s="24"/>
      <c r="D71" s="24"/>
      <c r="E71" s="24"/>
      <c r="F71" s="24"/>
      <c r="G71" s="24"/>
      <c r="H71" s="48"/>
      <c r="I71" s="48"/>
    </row>
    <row r="72" ht="16.5" customHeight="1">
      <c r="B72" s="24"/>
      <c r="C72" s="24"/>
      <c r="D72" s="24"/>
      <c r="E72" s="24"/>
      <c r="F72" s="24"/>
      <c r="G72" s="24"/>
      <c r="H72" s="48"/>
      <c r="I72" s="48"/>
    </row>
    <row r="73" ht="16.5" customHeight="1">
      <c r="B73" s="24"/>
      <c r="C73" s="24"/>
      <c r="D73" s="24"/>
      <c r="E73" s="24"/>
      <c r="F73" s="24"/>
      <c r="G73" s="24"/>
      <c r="H73" s="48"/>
      <c r="I73" s="48"/>
    </row>
    <row r="74" ht="16.5" customHeight="1">
      <c r="B74" s="24"/>
      <c r="C74" s="24"/>
      <c r="D74" s="24"/>
      <c r="E74" s="24"/>
      <c r="F74" s="24"/>
      <c r="G74" s="24"/>
      <c r="H74" s="48"/>
      <c r="I74" s="48"/>
    </row>
    <row r="75" ht="16.5" customHeight="1">
      <c r="B75" s="24"/>
      <c r="C75" s="24"/>
      <c r="D75" s="24"/>
      <c r="E75" s="24"/>
      <c r="F75" s="24"/>
      <c r="G75" s="24"/>
      <c r="H75" s="48"/>
      <c r="I75" s="48"/>
    </row>
    <row r="76" ht="16.5" customHeight="1">
      <c r="B76" s="24"/>
      <c r="C76" s="24"/>
      <c r="D76" s="24"/>
      <c r="E76" s="24"/>
      <c r="F76" s="24"/>
      <c r="G76" s="24"/>
      <c r="H76" s="48"/>
      <c r="I76" s="48"/>
    </row>
    <row r="77" ht="16.5" customHeight="1">
      <c r="B77" s="24"/>
      <c r="C77" s="24"/>
      <c r="D77" s="24"/>
      <c r="E77" s="24"/>
      <c r="F77" s="24"/>
      <c r="G77" s="24"/>
      <c r="H77" s="48"/>
      <c r="I77" s="48"/>
    </row>
    <row r="78" ht="16.5" customHeight="1">
      <c r="B78" s="24"/>
      <c r="C78" s="24"/>
      <c r="D78" s="24"/>
      <c r="E78" s="24"/>
      <c r="F78" s="24"/>
      <c r="G78" s="24"/>
      <c r="H78" s="48"/>
      <c r="I78" s="48"/>
    </row>
    <row r="79" ht="16.5" customHeight="1">
      <c r="B79" s="24"/>
      <c r="C79" s="24"/>
      <c r="D79" s="24"/>
      <c r="E79" s="24"/>
      <c r="F79" s="24"/>
      <c r="G79" s="24"/>
      <c r="H79" s="48"/>
      <c r="I79" s="48"/>
    </row>
    <row r="80" ht="16.5" customHeight="1">
      <c r="B80" s="24"/>
      <c r="C80" s="24"/>
      <c r="D80" s="24"/>
      <c r="E80" s="24"/>
      <c r="F80" s="24"/>
      <c r="G80" s="24"/>
      <c r="H80" s="48"/>
      <c r="I80" s="48"/>
    </row>
    <row r="81" ht="16.5" customHeight="1">
      <c r="B81" s="24"/>
      <c r="C81" s="24"/>
      <c r="D81" s="24"/>
      <c r="E81" s="24"/>
      <c r="F81" s="24"/>
      <c r="G81" s="24"/>
      <c r="H81" s="48"/>
      <c r="I81" s="48"/>
    </row>
    <row r="82" ht="16.5" customHeight="1">
      <c r="B82" s="24"/>
      <c r="C82" s="24"/>
      <c r="D82" s="24"/>
      <c r="E82" s="24"/>
      <c r="F82" s="24"/>
      <c r="G82" s="24"/>
      <c r="H82" s="48"/>
      <c r="I82" s="48"/>
    </row>
    <row r="83" ht="16.5" customHeight="1">
      <c r="B83" s="24"/>
      <c r="C83" s="24"/>
      <c r="D83" s="24"/>
      <c r="E83" s="24"/>
      <c r="F83" s="24"/>
      <c r="G83" s="24"/>
      <c r="H83" s="48"/>
      <c r="I83" s="48"/>
    </row>
    <row r="84" ht="16.5" customHeight="1">
      <c r="B84" s="24"/>
      <c r="C84" s="24"/>
      <c r="D84" s="24"/>
      <c r="E84" s="24"/>
      <c r="F84" s="24"/>
      <c r="G84" s="24"/>
      <c r="H84" s="48"/>
      <c r="I84" s="48"/>
    </row>
    <row r="85" ht="16.5" customHeight="1">
      <c r="B85" s="24"/>
      <c r="C85" s="24"/>
      <c r="D85" s="24"/>
      <c r="E85" s="24"/>
      <c r="F85" s="24"/>
      <c r="G85" s="24"/>
      <c r="H85" s="48"/>
      <c r="I85" s="48"/>
    </row>
    <row r="86" ht="16.5" customHeight="1">
      <c r="B86" s="24"/>
      <c r="C86" s="24"/>
      <c r="D86" s="24"/>
      <c r="E86" s="24"/>
      <c r="F86" s="24"/>
      <c r="G86" s="24"/>
      <c r="H86" s="48"/>
      <c r="I86" s="48"/>
    </row>
    <row r="87" ht="16.5" customHeight="1">
      <c r="B87" s="24"/>
      <c r="C87" s="24"/>
      <c r="D87" s="24"/>
      <c r="E87" s="24"/>
      <c r="F87" s="24"/>
      <c r="G87" s="24"/>
      <c r="H87" s="48"/>
      <c r="I87" s="48"/>
    </row>
    <row r="88" ht="16.5" customHeight="1">
      <c r="B88" s="24"/>
      <c r="C88" s="24"/>
      <c r="D88" s="24"/>
      <c r="E88" s="24"/>
      <c r="F88" s="24"/>
      <c r="G88" s="24"/>
      <c r="H88" s="48"/>
      <c r="I88" s="48"/>
    </row>
    <row r="89" ht="16.5" customHeight="1">
      <c r="B89" s="24"/>
      <c r="C89" s="24"/>
      <c r="D89" s="24"/>
      <c r="E89" s="24"/>
      <c r="F89" s="24"/>
      <c r="G89" s="24"/>
      <c r="H89" s="48"/>
      <c r="I89" s="48"/>
    </row>
    <row r="90" ht="16.5" customHeight="1">
      <c r="B90" s="24"/>
      <c r="C90" s="24"/>
      <c r="D90" s="24"/>
      <c r="E90" s="24"/>
      <c r="F90" s="24"/>
      <c r="G90" s="24"/>
      <c r="H90" s="48"/>
      <c r="I90" s="48"/>
    </row>
    <row r="91" ht="16.5" customHeight="1">
      <c r="B91" s="24"/>
      <c r="C91" s="24"/>
      <c r="D91" s="24"/>
      <c r="E91" s="24"/>
      <c r="F91" s="24"/>
      <c r="G91" s="24"/>
      <c r="H91" s="48"/>
      <c r="I91" s="48"/>
    </row>
    <row r="92" ht="16.5" customHeight="1">
      <c r="B92" s="24"/>
      <c r="C92" s="24"/>
      <c r="D92" s="24"/>
      <c r="E92" s="24"/>
      <c r="F92" s="24"/>
      <c r="G92" s="24"/>
      <c r="H92" s="48"/>
      <c r="I92" s="48"/>
    </row>
    <row r="93" ht="16.5" customHeight="1">
      <c r="B93" s="24"/>
      <c r="C93" s="24"/>
      <c r="D93" s="24"/>
      <c r="E93" s="24"/>
      <c r="F93" s="24"/>
      <c r="G93" s="24"/>
      <c r="H93" s="48"/>
      <c r="I93" s="48"/>
    </row>
    <row r="94" ht="16.5" customHeight="1">
      <c r="B94" s="24"/>
      <c r="C94" s="24"/>
      <c r="D94" s="24"/>
      <c r="E94" s="24"/>
      <c r="F94" s="24"/>
      <c r="G94" s="24"/>
      <c r="H94" s="48"/>
      <c r="I94" s="48"/>
    </row>
    <row r="95" ht="16.5" customHeight="1">
      <c r="B95" s="24"/>
      <c r="C95" s="24"/>
      <c r="D95" s="24"/>
      <c r="E95" s="24"/>
      <c r="F95" s="24"/>
      <c r="G95" s="24"/>
      <c r="H95" s="48"/>
      <c r="I95" s="48"/>
    </row>
    <row r="96" ht="16.5" customHeight="1">
      <c r="B96" s="24"/>
      <c r="C96" s="24"/>
      <c r="D96" s="24"/>
      <c r="E96" s="24"/>
      <c r="F96" s="24"/>
      <c r="G96" s="24"/>
      <c r="H96" s="48"/>
      <c r="I96" s="48"/>
    </row>
    <row r="97" ht="16.5" customHeight="1">
      <c r="B97" s="24"/>
      <c r="C97" s="24"/>
      <c r="D97" s="24"/>
      <c r="E97" s="24"/>
      <c r="F97" s="24"/>
      <c r="G97" s="24"/>
      <c r="H97" s="48"/>
      <c r="I97" s="48"/>
    </row>
    <row r="98" ht="16.5" customHeight="1">
      <c r="B98" s="24"/>
      <c r="C98" s="24"/>
      <c r="D98" s="24"/>
      <c r="E98" s="24"/>
      <c r="F98" s="24"/>
      <c r="G98" s="24"/>
      <c r="H98" s="48"/>
      <c r="I98" s="48"/>
    </row>
    <row r="99" ht="16.5" customHeight="1">
      <c r="B99" s="24"/>
      <c r="C99" s="24"/>
      <c r="D99" s="24"/>
      <c r="E99" s="24"/>
      <c r="F99" s="24"/>
      <c r="G99" s="24"/>
      <c r="H99" s="48"/>
      <c r="I99" s="48"/>
    </row>
    <row r="100" ht="16.5" customHeight="1">
      <c r="B100" s="24"/>
      <c r="C100" s="24"/>
      <c r="D100" s="24"/>
      <c r="E100" s="24"/>
      <c r="F100" s="24"/>
      <c r="G100" s="24"/>
      <c r="H100" s="48"/>
      <c r="I100" s="48"/>
    </row>
    <row r="101" ht="16.5" customHeight="1">
      <c r="B101" s="24"/>
      <c r="C101" s="24"/>
      <c r="D101" s="24"/>
      <c r="E101" s="24"/>
      <c r="F101" s="24"/>
      <c r="G101" s="24"/>
      <c r="H101" s="48"/>
      <c r="I101" s="48"/>
    </row>
    <row r="102" ht="16.5" customHeight="1">
      <c r="B102" s="24"/>
      <c r="C102" s="24"/>
      <c r="D102" s="24"/>
      <c r="E102" s="24"/>
      <c r="F102" s="24"/>
      <c r="G102" s="24"/>
      <c r="H102" s="48"/>
      <c r="I102" s="48"/>
    </row>
    <row r="103" ht="16.5" customHeight="1">
      <c r="B103" s="24"/>
      <c r="C103" s="24"/>
      <c r="D103" s="24"/>
      <c r="E103" s="24"/>
      <c r="F103" s="24"/>
      <c r="G103" s="24"/>
      <c r="H103" s="48"/>
      <c r="I103" s="48"/>
    </row>
    <row r="104" ht="16.5" customHeight="1">
      <c r="B104" s="24"/>
      <c r="C104" s="24"/>
      <c r="D104" s="24"/>
      <c r="E104" s="24"/>
      <c r="F104" s="24"/>
      <c r="G104" s="24"/>
      <c r="H104" s="48"/>
      <c r="I104" s="48"/>
    </row>
    <row r="105" ht="16.5" customHeight="1">
      <c r="B105" s="24"/>
      <c r="C105" s="24"/>
      <c r="D105" s="24"/>
      <c r="E105" s="24"/>
      <c r="F105" s="24"/>
      <c r="G105" s="24"/>
      <c r="H105" s="48"/>
      <c r="I105" s="48"/>
    </row>
    <row r="106" ht="16.5" customHeight="1">
      <c r="B106" s="24"/>
      <c r="C106" s="24"/>
      <c r="D106" s="24"/>
      <c r="E106" s="24"/>
      <c r="F106" s="24"/>
      <c r="G106" s="24"/>
      <c r="H106" s="48"/>
      <c r="I106" s="48"/>
    </row>
    <row r="107" ht="16.5" customHeight="1">
      <c r="B107" s="24"/>
      <c r="C107" s="24"/>
      <c r="D107" s="24"/>
      <c r="E107" s="24"/>
      <c r="F107" s="24"/>
      <c r="G107" s="24"/>
      <c r="H107" s="48"/>
      <c r="I107" s="48"/>
    </row>
    <row r="108" ht="16.5" customHeight="1">
      <c r="B108" s="24"/>
      <c r="C108" s="24"/>
      <c r="D108" s="24"/>
      <c r="E108" s="24"/>
      <c r="F108" s="24"/>
      <c r="G108" s="24"/>
      <c r="H108" s="48"/>
      <c r="I108" s="48"/>
    </row>
    <row r="109" ht="16.5" customHeight="1">
      <c r="B109" s="24"/>
      <c r="C109" s="24"/>
      <c r="D109" s="24"/>
      <c r="E109" s="24"/>
      <c r="F109" s="24"/>
      <c r="G109" s="24"/>
      <c r="H109" s="48"/>
      <c r="I109" s="48"/>
    </row>
    <row r="110" ht="16.5" customHeight="1">
      <c r="B110" s="24"/>
      <c r="C110" s="24"/>
      <c r="D110" s="24"/>
      <c r="E110" s="24"/>
      <c r="F110" s="24"/>
      <c r="G110" s="24"/>
      <c r="H110" s="48"/>
      <c r="I110" s="48"/>
    </row>
    <row r="111" ht="16.5" customHeight="1">
      <c r="B111" s="24"/>
      <c r="C111" s="24"/>
      <c r="D111" s="24"/>
      <c r="E111" s="24"/>
      <c r="F111" s="24"/>
      <c r="G111" s="24"/>
      <c r="H111" s="48"/>
      <c r="I111" s="48"/>
    </row>
    <row r="112" ht="16.5" customHeight="1">
      <c r="B112" s="24"/>
      <c r="C112" s="24"/>
      <c r="D112" s="24"/>
      <c r="E112" s="24"/>
      <c r="F112" s="24"/>
      <c r="G112" s="24"/>
      <c r="H112" s="48"/>
      <c r="I112" s="48"/>
    </row>
    <row r="113" ht="16.5" customHeight="1">
      <c r="B113" s="24"/>
      <c r="C113" s="24"/>
      <c r="D113" s="24"/>
      <c r="E113" s="24"/>
      <c r="F113" s="24"/>
      <c r="G113" s="24"/>
      <c r="H113" s="48"/>
      <c r="I113" s="48"/>
    </row>
    <row r="114" ht="16.5" customHeight="1">
      <c r="B114" s="24"/>
      <c r="C114" s="24"/>
      <c r="D114" s="24"/>
      <c r="E114" s="24"/>
      <c r="F114" s="24"/>
      <c r="G114" s="24"/>
      <c r="H114" s="48"/>
      <c r="I114" s="48"/>
    </row>
    <row r="115" ht="16.5" customHeight="1">
      <c r="B115" s="24"/>
      <c r="C115" s="24"/>
      <c r="D115" s="24"/>
      <c r="E115" s="24"/>
      <c r="F115" s="24"/>
      <c r="G115" s="24"/>
      <c r="H115" s="48"/>
      <c r="I115" s="48"/>
    </row>
    <row r="116" ht="16.5" customHeight="1">
      <c r="B116" s="24"/>
      <c r="C116" s="24"/>
      <c r="D116" s="24"/>
      <c r="E116" s="24"/>
      <c r="F116" s="24"/>
      <c r="G116" s="24"/>
      <c r="H116" s="48"/>
      <c r="I116" s="48"/>
    </row>
    <row r="117" ht="16.5" customHeight="1">
      <c r="B117" s="24"/>
      <c r="C117" s="24"/>
      <c r="D117" s="24"/>
      <c r="E117" s="24"/>
      <c r="F117" s="24"/>
      <c r="G117" s="24"/>
      <c r="H117" s="48"/>
      <c r="I117" s="48"/>
    </row>
    <row r="118" ht="16.5" customHeight="1">
      <c r="B118" s="24"/>
      <c r="C118" s="24"/>
      <c r="D118" s="24"/>
      <c r="E118" s="24"/>
      <c r="F118" s="24"/>
      <c r="G118" s="24"/>
      <c r="H118" s="48"/>
      <c r="I118" s="48"/>
    </row>
    <row r="119" ht="16.5" customHeight="1">
      <c r="B119" s="24"/>
      <c r="C119" s="24"/>
      <c r="D119" s="24"/>
      <c r="E119" s="24"/>
      <c r="F119" s="24"/>
      <c r="G119" s="24"/>
      <c r="H119" s="48"/>
      <c r="I119" s="48"/>
    </row>
    <row r="120" ht="16.5" customHeight="1">
      <c r="B120" s="24"/>
      <c r="C120" s="24"/>
      <c r="D120" s="24"/>
      <c r="E120" s="24"/>
      <c r="F120" s="24"/>
      <c r="G120" s="24"/>
      <c r="H120" s="48"/>
      <c r="I120" s="48"/>
    </row>
    <row r="121" ht="16.5" customHeight="1">
      <c r="B121" s="24"/>
      <c r="C121" s="24"/>
      <c r="D121" s="24"/>
      <c r="E121" s="24"/>
      <c r="F121" s="24"/>
      <c r="G121" s="24"/>
      <c r="H121" s="48"/>
      <c r="I121" s="48"/>
    </row>
    <row r="122" ht="16.5" customHeight="1">
      <c r="B122" s="24"/>
      <c r="C122" s="24"/>
      <c r="D122" s="24"/>
      <c r="E122" s="24"/>
      <c r="F122" s="24"/>
      <c r="G122" s="24"/>
      <c r="H122" s="48"/>
      <c r="I122" s="48"/>
    </row>
    <row r="123" ht="16.5" customHeight="1">
      <c r="B123" s="24"/>
      <c r="C123" s="24"/>
      <c r="D123" s="24"/>
      <c r="E123" s="24"/>
      <c r="F123" s="24"/>
      <c r="G123" s="24"/>
      <c r="H123" s="48"/>
      <c r="I123" s="48"/>
    </row>
    <row r="124" ht="16.5" customHeight="1">
      <c r="B124" s="24"/>
      <c r="C124" s="24"/>
      <c r="D124" s="24"/>
      <c r="E124" s="24"/>
      <c r="F124" s="24"/>
      <c r="G124" s="24"/>
      <c r="H124" s="48"/>
      <c r="I124" s="48"/>
    </row>
    <row r="125" ht="16.5" customHeight="1">
      <c r="B125" s="24"/>
      <c r="C125" s="24"/>
      <c r="D125" s="24"/>
      <c r="E125" s="24"/>
      <c r="F125" s="24"/>
      <c r="G125" s="24"/>
      <c r="H125" s="48"/>
      <c r="I125" s="48"/>
    </row>
    <row r="126" ht="16.5" customHeight="1">
      <c r="B126" s="24"/>
      <c r="C126" s="24"/>
      <c r="D126" s="24"/>
      <c r="E126" s="24"/>
      <c r="F126" s="24"/>
      <c r="G126" s="24"/>
      <c r="H126" s="48"/>
      <c r="I126" s="48"/>
    </row>
    <row r="127" ht="16.5" customHeight="1">
      <c r="B127" s="24"/>
      <c r="C127" s="24"/>
      <c r="D127" s="24"/>
      <c r="E127" s="24"/>
      <c r="F127" s="24"/>
      <c r="G127" s="24"/>
      <c r="H127" s="48"/>
      <c r="I127" s="48"/>
    </row>
    <row r="128" ht="16.5" customHeight="1">
      <c r="B128" s="24"/>
      <c r="C128" s="24"/>
      <c r="D128" s="24"/>
      <c r="E128" s="24"/>
      <c r="F128" s="24"/>
      <c r="G128" s="24"/>
      <c r="H128" s="48"/>
      <c r="I128" s="48"/>
    </row>
    <row r="129" ht="16.5" customHeight="1">
      <c r="B129" s="24"/>
      <c r="C129" s="24"/>
      <c r="D129" s="24"/>
      <c r="E129" s="24"/>
      <c r="F129" s="24"/>
      <c r="G129" s="24"/>
      <c r="H129" s="48"/>
      <c r="I129" s="48"/>
    </row>
    <row r="130" ht="16.5" customHeight="1">
      <c r="B130" s="24"/>
      <c r="C130" s="24"/>
      <c r="D130" s="24"/>
      <c r="E130" s="24"/>
      <c r="F130" s="24"/>
      <c r="G130" s="24"/>
      <c r="H130" s="48"/>
      <c r="I130" s="48"/>
    </row>
    <row r="131" ht="16.5" customHeight="1">
      <c r="B131" s="24"/>
      <c r="C131" s="24"/>
      <c r="D131" s="24"/>
      <c r="E131" s="24"/>
      <c r="F131" s="24"/>
      <c r="G131" s="24"/>
      <c r="H131" s="48"/>
      <c r="I131" s="48"/>
    </row>
    <row r="132" ht="16.5" customHeight="1">
      <c r="B132" s="24"/>
      <c r="C132" s="24"/>
      <c r="D132" s="24"/>
      <c r="E132" s="24"/>
      <c r="F132" s="24"/>
      <c r="G132" s="24"/>
      <c r="H132" s="48"/>
      <c r="I132" s="48"/>
    </row>
    <row r="133" ht="16.5" customHeight="1">
      <c r="B133" s="24"/>
      <c r="C133" s="24"/>
      <c r="D133" s="24"/>
      <c r="E133" s="24"/>
      <c r="F133" s="24"/>
      <c r="G133" s="24"/>
      <c r="H133" s="48"/>
      <c r="I133" s="48"/>
    </row>
    <row r="134" ht="16.5" customHeight="1">
      <c r="B134" s="24"/>
      <c r="C134" s="24"/>
      <c r="D134" s="24"/>
      <c r="E134" s="24"/>
      <c r="F134" s="24"/>
      <c r="G134" s="24"/>
      <c r="H134" s="48"/>
      <c r="I134" s="48"/>
    </row>
    <row r="135" ht="16.5" customHeight="1">
      <c r="B135" s="24"/>
      <c r="C135" s="24"/>
      <c r="D135" s="24"/>
      <c r="E135" s="24"/>
      <c r="F135" s="24"/>
      <c r="G135" s="24"/>
      <c r="H135" s="48"/>
      <c r="I135" s="48"/>
    </row>
    <row r="136" ht="16.5" customHeight="1">
      <c r="B136" s="24"/>
      <c r="C136" s="24"/>
      <c r="D136" s="24"/>
      <c r="E136" s="24"/>
      <c r="F136" s="24"/>
      <c r="G136" s="24"/>
      <c r="H136" s="48"/>
      <c r="I136" s="48"/>
    </row>
    <row r="137" ht="16.5" customHeight="1">
      <c r="B137" s="24"/>
      <c r="C137" s="24"/>
      <c r="D137" s="24"/>
      <c r="E137" s="24"/>
      <c r="F137" s="24"/>
      <c r="G137" s="24"/>
      <c r="H137" s="48"/>
      <c r="I137" s="48"/>
    </row>
    <row r="138" ht="16.5" customHeight="1">
      <c r="B138" s="24"/>
      <c r="C138" s="24"/>
      <c r="D138" s="24"/>
      <c r="E138" s="24"/>
      <c r="F138" s="24"/>
      <c r="G138" s="24"/>
      <c r="H138" s="48"/>
      <c r="I138" s="48"/>
    </row>
    <row r="139" ht="16.5" customHeight="1">
      <c r="B139" s="24"/>
      <c r="C139" s="24"/>
      <c r="D139" s="24"/>
      <c r="E139" s="24"/>
      <c r="F139" s="24"/>
      <c r="G139" s="24"/>
      <c r="H139" s="48"/>
      <c r="I139" s="48"/>
    </row>
    <row r="140" ht="16.5" customHeight="1">
      <c r="B140" s="24"/>
      <c r="C140" s="24"/>
      <c r="D140" s="24"/>
      <c r="E140" s="24"/>
      <c r="F140" s="24"/>
      <c r="G140" s="24"/>
      <c r="H140" s="48"/>
      <c r="I140" s="48"/>
    </row>
    <row r="141" ht="16.5" customHeight="1">
      <c r="B141" s="24"/>
      <c r="C141" s="24"/>
      <c r="D141" s="24"/>
      <c r="E141" s="24"/>
      <c r="F141" s="24"/>
      <c r="G141" s="24"/>
      <c r="H141" s="48"/>
      <c r="I141" s="48"/>
    </row>
    <row r="142" ht="16.5" customHeight="1">
      <c r="B142" s="24"/>
      <c r="C142" s="24"/>
      <c r="D142" s="24"/>
      <c r="E142" s="24"/>
      <c r="F142" s="24"/>
      <c r="G142" s="24"/>
      <c r="H142" s="48"/>
      <c r="I142" s="48"/>
    </row>
    <row r="143" ht="16.5" customHeight="1">
      <c r="B143" s="24"/>
      <c r="C143" s="24"/>
      <c r="D143" s="24"/>
      <c r="E143" s="24"/>
      <c r="F143" s="24"/>
      <c r="G143" s="24"/>
      <c r="H143" s="48"/>
      <c r="I143" s="48"/>
    </row>
    <row r="144" ht="16.5" customHeight="1">
      <c r="B144" s="24"/>
      <c r="C144" s="24"/>
      <c r="D144" s="24"/>
      <c r="E144" s="24"/>
      <c r="F144" s="24"/>
      <c r="G144" s="24"/>
      <c r="H144" s="48"/>
      <c r="I144" s="48"/>
    </row>
    <row r="145" ht="16.5" customHeight="1">
      <c r="B145" s="24"/>
      <c r="C145" s="24"/>
      <c r="D145" s="24"/>
      <c r="E145" s="24"/>
      <c r="F145" s="24"/>
      <c r="G145" s="24"/>
      <c r="H145" s="48"/>
      <c r="I145" s="48"/>
    </row>
    <row r="146" ht="16.5" customHeight="1">
      <c r="B146" s="24"/>
      <c r="C146" s="24"/>
      <c r="D146" s="24"/>
      <c r="E146" s="24"/>
      <c r="F146" s="24"/>
      <c r="G146" s="24"/>
      <c r="H146" s="48"/>
      <c r="I146" s="48"/>
    </row>
    <row r="147" ht="16.5" customHeight="1">
      <c r="B147" s="24"/>
      <c r="C147" s="24"/>
      <c r="D147" s="24"/>
      <c r="E147" s="24"/>
      <c r="F147" s="24"/>
      <c r="G147" s="24"/>
      <c r="H147" s="48"/>
      <c r="I147" s="48"/>
    </row>
    <row r="148" ht="16.5" customHeight="1">
      <c r="B148" s="24"/>
      <c r="C148" s="24"/>
      <c r="D148" s="24"/>
      <c r="E148" s="24"/>
      <c r="F148" s="24"/>
      <c r="G148" s="24"/>
      <c r="H148" s="48"/>
      <c r="I148" s="48"/>
    </row>
    <row r="149" ht="16.5" customHeight="1">
      <c r="B149" s="24"/>
      <c r="C149" s="24"/>
      <c r="D149" s="24"/>
      <c r="E149" s="24"/>
      <c r="F149" s="24"/>
      <c r="G149" s="24"/>
      <c r="H149" s="48"/>
      <c r="I149" s="48"/>
    </row>
    <row r="150" ht="16.5" customHeight="1">
      <c r="B150" s="24"/>
      <c r="C150" s="24"/>
      <c r="D150" s="24"/>
      <c r="E150" s="24"/>
      <c r="F150" s="24"/>
      <c r="G150" s="24"/>
      <c r="H150" s="48"/>
      <c r="I150" s="48"/>
    </row>
    <row r="151" ht="16.5" customHeight="1">
      <c r="B151" s="24"/>
      <c r="C151" s="24"/>
      <c r="D151" s="24"/>
      <c r="E151" s="24"/>
      <c r="F151" s="24"/>
      <c r="G151" s="24"/>
      <c r="H151" s="48"/>
      <c r="I151" s="48"/>
    </row>
    <row r="152" ht="16.5" customHeight="1">
      <c r="B152" s="24"/>
      <c r="C152" s="24"/>
      <c r="D152" s="24"/>
      <c r="E152" s="24"/>
      <c r="F152" s="24"/>
      <c r="G152" s="24"/>
      <c r="H152" s="48"/>
      <c r="I152" s="48"/>
    </row>
    <row r="153" ht="16.5" customHeight="1">
      <c r="B153" s="24"/>
      <c r="C153" s="24"/>
      <c r="D153" s="24"/>
      <c r="E153" s="24"/>
      <c r="F153" s="24"/>
      <c r="G153" s="24"/>
      <c r="H153" s="48"/>
      <c r="I153" s="48"/>
    </row>
    <row r="154" ht="16.5" customHeight="1">
      <c r="B154" s="24"/>
      <c r="C154" s="24"/>
      <c r="D154" s="24"/>
      <c r="E154" s="24"/>
      <c r="F154" s="24"/>
      <c r="G154" s="24"/>
      <c r="H154" s="48"/>
      <c r="I154" s="48"/>
    </row>
    <row r="155" ht="16.5" customHeight="1">
      <c r="B155" s="24"/>
      <c r="C155" s="24"/>
      <c r="D155" s="24"/>
      <c r="E155" s="24"/>
      <c r="F155" s="24"/>
      <c r="G155" s="24"/>
      <c r="H155" s="48"/>
      <c r="I155" s="48"/>
    </row>
    <row r="156" ht="16.5" customHeight="1">
      <c r="B156" s="24"/>
      <c r="C156" s="24"/>
      <c r="D156" s="24"/>
      <c r="E156" s="24"/>
      <c r="F156" s="24"/>
      <c r="G156" s="24"/>
      <c r="H156" s="48"/>
      <c r="I156" s="48"/>
    </row>
    <row r="157" ht="16.5" customHeight="1">
      <c r="B157" s="24"/>
      <c r="C157" s="24"/>
      <c r="D157" s="24"/>
      <c r="E157" s="24"/>
      <c r="F157" s="24"/>
      <c r="G157" s="24"/>
      <c r="H157" s="48"/>
      <c r="I157" s="48"/>
    </row>
    <row r="158" ht="16.5" customHeight="1">
      <c r="B158" s="24"/>
      <c r="C158" s="24"/>
      <c r="D158" s="24"/>
      <c r="E158" s="24"/>
      <c r="F158" s="24"/>
      <c r="G158" s="24"/>
      <c r="H158" s="48"/>
      <c r="I158" s="48"/>
    </row>
    <row r="159" ht="16.5" customHeight="1">
      <c r="B159" s="24"/>
      <c r="C159" s="24"/>
      <c r="D159" s="24"/>
      <c r="E159" s="24"/>
      <c r="F159" s="24"/>
      <c r="G159" s="24"/>
      <c r="H159" s="48"/>
      <c r="I159" s="48"/>
    </row>
    <row r="160" ht="16.5" customHeight="1">
      <c r="B160" s="24"/>
      <c r="C160" s="24"/>
      <c r="D160" s="24"/>
      <c r="E160" s="24"/>
      <c r="F160" s="24"/>
      <c r="G160" s="24"/>
      <c r="H160" s="48"/>
      <c r="I160" s="48"/>
    </row>
    <row r="161" ht="16.5" customHeight="1">
      <c r="B161" s="24"/>
      <c r="C161" s="24"/>
      <c r="D161" s="24"/>
      <c r="E161" s="24"/>
      <c r="F161" s="24"/>
      <c r="G161" s="24"/>
      <c r="H161" s="48"/>
      <c r="I161" s="48"/>
    </row>
    <row r="162" ht="16.5" customHeight="1">
      <c r="B162" s="24"/>
      <c r="C162" s="24"/>
      <c r="D162" s="24"/>
      <c r="E162" s="24"/>
      <c r="F162" s="24"/>
      <c r="G162" s="24"/>
      <c r="H162" s="48"/>
      <c r="I162" s="48"/>
    </row>
    <row r="163" ht="16.5" customHeight="1">
      <c r="B163" s="24"/>
      <c r="C163" s="24"/>
      <c r="D163" s="24"/>
      <c r="E163" s="24"/>
      <c r="F163" s="24"/>
      <c r="G163" s="24"/>
      <c r="H163" s="48"/>
      <c r="I163" s="48"/>
    </row>
    <row r="164" ht="16.5" customHeight="1">
      <c r="B164" s="24"/>
      <c r="C164" s="24"/>
      <c r="D164" s="24"/>
      <c r="E164" s="24"/>
      <c r="F164" s="24"/>
      <c r="G164" s="24"/>
      <c r="H164" s="48"/>
      <c r="I164" s="48"/>
    </row>
    <row r="165" ht="16.5" customHeight="1">
      <c r="B165" s="24"/>
      <c r="C165" s="24"/>
      <c r="D165" s="24"/>
      <c r="E165" s="24"/>
      <c r="F165" s="24"/>
      <c r="G165" s="24"/>
      <c r="H165" s="48"/>
      <c r="I165" s="48"/>
    </row>
    <row r="166" ht="16.5" customHeight="1">
      <c r="B166" s="24"/>
      <c r="C166" s="24"/>
      <c r="D166" s="24"/>
      <c r="E166" s="24"/>
      <c r="F166" s="24"/>
      <c r="G166" s="24"/>
      <c r="H166" s="48"/>
      <c r="I166" s="48"/>
    </row>
    <row r="167" ht="16.5" customHeight="1">
      <c r="B167" s="24"/>
      <c r="C167" s="24"/>
      <c r="D167" s="24"/>
      <c r="E167" s="24"/>
      <c r="F167" s="24"/>
      <c r="G167" s="24"/>
      <c r="H167" s="48"/>
      <c r="I167" s="48"/>
    </row>
    <row r="168" ht="16.5" customHeight="1">
      <c r="B168" s="24"/>
      <c r="C168" s="24"/>
      <c r="D168" s="24"/>
      <c r="E168" s="24"/>
      <c r="F168" s="24"/>
      <c r="G168" s="24"/>
      <c r="H168" s="48"/>
      <c r="I168" s="48"/>
    </row>
    <row r="169" ht="16.5" customHeight="1">
      <c r="B169" s="24"/>
      <c r="C169" s="24"/>
      <c r="D169" s="24"/>
      <c r="E169" s="24"/>
      <c r="F169" s="24"/>
      <c r="G169" s="24"/>
      <c r="H169" s="48"/>
      <c r="I169" s="48"/>
    </row>
    <row r="170" ht="16.5" customHeight="1">
      <c r="B170" s="24"/>
      <c r="C170" s="24"/>
      <c r="D170" s="24"/>
      <c r="E170" s="24"/>
      <c r="F170" s="24"/>
      <c r="G170" s="24"/>
      <c r="H170" s="48"/>
      <c r="I170" s="48"/>
    </row>
    <row r="171" ht="16.5" customHeight="1">
      <c r="B171" s="24"/>
      <c r="C171" s="24"/>
      <c r="D171" s="24"/>
      <c r="E171" s="24"/>
      <c r="F171" s="24"/>
      <c r="G171" s="24"/>
      <c r="H171" s="48"/>
      <c r="I171" s="48"/>
    </row>
    <row r="172" ht="16.5" customHeight="1">
      <c r="B172" s="24"/>
      <c r="C172" s="24"/>
      <c r="D172" s="24"/>
      <c r="E172" s="24"/>
      <c r="F172" s="24"/>
      <c r="G172" s="24"/>
      <c r="H172" s="48"/>
      <c r="I172" s="48"/>
    </row>
    <row r="173" ht="16.5" customHeight="1">
      <c r="B173" s="24"/>
      <c r="C173" s="24"/>
      <c r="D173" s="24"/>
      <c r="E173" s="24"/>
      <c r="F173" s="24"/>
      <c r="G173" s="24"/>
      <c r="H173" s="48"/>
      <c r="I173" s="48"/>
    </row>
    <row r="174" ht="16.5" customHeight="1">
      <c r="B174" s="24"/>
      <c r="C174" s="24"/>
      <c r="D174" s="24"/>
      <c r="E174" s="24"/>
      <c r="F174" s="24"/>
      <c r="G174" s="24"/>
      <c r="H174" s="48"/>
      <c r="I174" s="48"/>
    </row>
    <row r="175" ht="16.5" customHeight="1">
      <c r="B175" s="24"/>
      <c r="C175" s="24"/>
      <c r="D175" s="24"/>
      <c r="E175" s="24"/>
      <c r="F175" s="24"/>
      <c r="G175" s="24"/>
      <c r="H175" s="48"/>
      <c r="I175" s="48"/>
    </row>
    <row r="176" ht="16.5" customHeight="1">
      <c r="B176" s="24"/>
      <c r="C176" s="24"/>
      <c r="D176" s="24"/>
      <c r="E176" s="24"/>
      <c r="F176" s="24"/>
      <c r="G176" s="24"/>
      <c r="H176" s="48"/>
      <c r="I176" s="48"/>
    </row>
    <row r="177" ht="16.5" customHeight="1">
      <c r="B177" s="24"/>
      <c r="C177" s="24"/>
      <c r="D177" s="24"/>
      <c r="E177" s="24"/>
      <c r="F177" s="24"/>
      <c r="G177" s="24"/>
      <c r="H177" s="48"/>
      <c r="I177" s="48"/>
    </row>
    <row r="178" ht="16.5" customHeight="1">
      <c r="B178" s="24"/>
      <c r="C178" s="24"/>
      <c r="D178" s="24"/>
      <c r="E178" s="24"/>
      <c r="F178" s="24"/>
      <c r="G178" s="24"/>
      <c r="H178" s="48"/>
      <c r="I178" s="48"/>
    </row>
    <row r="179" ht="16.5" customHeight="1">
      <c r="B179" s="24"/>
      <c r="C179" s="24"/>
      <c r="D179" s="24"/>
      <c r="E179" s="24"/>
      <c r="F179" s="24"/>
      <c r="G179" s="24"/>
      <c r="H179" s="48"/>
      <c r="I179" s="48"/>
    </row>
    <row r="180" ht="16.5" customHeight="1">
      <c r="B180" s="24"/>
      <c r="C180" s="24"/>
      <c r="D180" s="24"/>
      <c r="E180" s="24"/>
      <c r="F180" s="24"/>
      <c r="G180" s="24"/>
      <c r="H180" s="48"/>
      <c r="I180" s="48"/>
    </row>
    <row r="181" ht="16.5" customHeight="1">
      <c r="B181" s="24"/>
      <c r="C181" s="24"/>
      <c r="D181" s="24"/>
      <c r="E181" s="24"/>
      <c r="F181" s="24"/>
      <c r="G181" s="24"/>
      <c r="H181" s="48"/>
      <c r="I181" s="48"/>
    </row>
    <row r="182" ht="16.5" customHeight="1">
      <c r="B182" s="24"/>
      <c r="C182" s="24"/>
      <c r="D182" s="24"/>
      <c r="E182" s="24"/>
      <c r="F182" s="24"/>
      <c r="G182" s="24"/>
      <c r="H182" s="48"/>
      <c r="I182" s="48"/>
    </row>
    <row r="183" ht="16.5" customHeight="1">
      <c r="B183" s="24"/>
      <c r="C183" s="24"/>
      <c r="D183" s="24"/>
      <c r="E183" s="24"/>
      <c r="F183" s="24"/>
      <c r="G183" s="24"/>
      <c r="H183" s="48"/>
      <c r="I183" s="48"/>
    </row>
    <row r="184" ht="16.5" customHeight="1">
      <c r="B184" s="24"/>
      <c r="C184" s="24"/>
      <c r="D184" s="24"/>
      <c r="E184" s="24"/>
      <c r="F184" s="24"/>
      <c r="G184" s="24"/>
      <c r="H184" s="48"/>
      <c r="I184" s="48"/>
    </row>
    <row r="185" ht="16.5" customHeight="1">
      <c r="B185" s="24"/>
      <c r="C185" s="24"/>
      <c r="D185" s="24"/>
      <c r="E185" s="24"/>
      <c r="F185" s="24"/>
      <c r="G185" s="24"/>
      <c r="H185" s="48"/>
      <c r="I185" s="48"/>
    </row>
    <row r="186" ht="16.5" customHeight="1">
      <c r="B186" s="24"/>
      <c r="C186" s="24"/>
      <c r="D186" s="24"/>
      <c r="E186" s="24"/>
      <c r="F186" s="24"/>
      <c r="G186" s="24"/>
      <c r="H186" s="48"/>
      <c r="I186" s="48"/>
    </row>
    <row r="187" ht="16.5" customHeight="1">
      <c r="B187" s="24"/>
      <c r="C187" s="24"/>
      <c r="D187" s="24"/>
      <c r="E187" s="24"/>
      <c r="F187" s="24"/>
      <c r="G187" s="24"/>
      <c r="H187" s="48"/>
      <c r="I187" s="48"/>
    </row>
    <row r="188" ht="16.5" customHeight="1">
      <c r="B188" s="24"/>
      <c r="C188" s="24"/>
      <c r="D188" s="24"/>
      <c r="E188" s="24"/>
      <c r="F188" s="24"/>
      <c r="G188" s="24"/>
      <c r="H188" s="48"/>
      <c r="I188" s="48"/>
    </row>
    <row r="189" ht="16.5" customHeight="1">
      <c r="B189" s="24"/>
      <c r="C189" s="24"/>
      <c r="D189" s="24"/>
      <c r="E189" s="24"/>
      <c r="F189" s="24"/>
      <c r="G189" s="24"/>
      <c r="H189" s="48"/>
      <c r="I189" s="48"/>
    </row>
    <row r="190" ht="16.5" customHeight="1">
      <c r="B190" s="24"/>
      <c r="C190" s="24"/>
      <c r="D190" s="24"/>
      <c r="E190" s="24"/>
      <c r="F190" s="24"/>
      <c r="G190" s="24"/>
      <c r="H190" s="48"/>
      <c r="I190" s="48"/>
    </row>
    <row r="191" ht="16.5" customHeight="1">
      <c r="B191" s="24"/>
      <c r="C191" s="24"/>
      <c r="D191" s="24"/>
      <c r="E191" s="24"/>
      <c r="F191" s="24"/>
      <c r="G191" s="24"/>
      <c r="H191" s="48"/>
      <c r="I191" s="48"/>
    </row>
    <row r="192" ht="16.5" customHeight="1">
      <c r="B192" s="24"/>
      <c r="C192" s="24"/>
      <c r="D192" s="24"/>
      <c r="E192" s="24"/>
      <c r="F192" s="24"/>
      <c r="G192" s="24"/>
      <c r="H192" s="48"/>
      <c r="I192" s="48"/>
    </row>
    <row r="193" ht="16.5" customHeight="1">
      <c r="B193" s="24"/>
      <c r="C193" s="24"/>
      <c r="D193" s="24"/>
      <c r="E193" s="24"/>
      <c r="F193" s="24"/>
      <c r="G193" s="24"/>
      <c r="H193" s="48"/>
      <c r="I193" s="48"/>
    </row>
    <row r="194" ht="16.5" customHeight="1">
      <c r="B194" s="24"/>
      <c r="C194" s="24"/>
      <c r="D194" s="24"/>
      <c r="E194" s="24"/>
      <c r="F194" s="24"/>
      <c r="G194" s="24"/>
      <c r="H194" s="48"/>
      <c r="I194" s="48"/>
    </row>
    <row r="195" ht="16.5" customHeight="1">
      <c r="B195" s="24"/>
      <c r="C195" s="24"/>
      <c r="D195" s="24"/>
      <c r="E195" s="24"/>
      <c r="F195" s="24"/>
      <c r="G195" s="24"/>
      <c r="H195" s="48"/>
      <c r="I195" s="48"/>
    </row>
    <row r="196" ht="16.5" customHeight="1">
      <c r="B196" s="24"/>
      <c r="C196" s="24"/>
      <c r="D196" s="24"/>
      <c r="E196" s="24"/>
      <c r="F196" s="24"/>
      <c r="G196" s="24"/>
      <c r="H196" s="48"/>
      <c r="I196" s="48"/>
    </row>
    <row r="197" ht="16.5" customHeight="1">
      <c r="B197" s="24"/>
      <c r="C197" s="24"/>
      <c r="D197" s="24"/>
      <c r="E197" s="24"/>
      <c r="F197" s="24"/>
      <c r="G197" s="24"/>
      <c r="H197" s="48"/>
      <c r="I197" s="48"/>
    </row>
    <row r="198" ht="16.5" customHeight="1">
      <c r="B198" s="24"/>
      <c r="C198" s="24"/>
      <c r="D198" s="24"/>
      <c r="E198" s="24"/>
      <c r="F198" s="24"/>
      <c r="G198" s="24"/>
      <c r="H198" s="48"/>
      <c r="I198" s="48"/>
    </row>
    <row r="199" ht="16.5" customHeight="1">
      <c r="B199" s="24"/>
      <c r="C199" s="24"/>
      <c r="D199" s="24"/>
      <c r="E199" s="24"/>
      <c r="F199" s="24"/>
      <c r="G199" s="24"/>
      <c r="H199" s="48"/>
      <c r="I199" s="48"/>
    </row>
    <row r="200" ht="16.5" customHeight="1">
      <c r="B200" s="24"/>
      <c r="C200" s="24"/>
      <c r="D200" s="24"/>
      <c r="E200" s="24"/>
      <c r="F200" s="24"/>
      <c r="G200" s="24"/>
      <c r="H200" s="48"/>
      <c r="I200" s="48"/>
    </row>
    <row r="201" ht="16.5" customHeight="1">
      <c r="B201" s="24"/>
      <c r="C201" s="24"/>
      <c r="D201" s="24"/>
      <c r="E201" s="24"/>
      <c r="F201" s="24"/>
      <c r="G201" s="24"/>
      <c r="H201" s="48"/>
      <c r="I201" s="48"/>
    </row>
    <row r="202" ht="16.5" customHeight="1">
      <c r="B202" s="24"/>
      <c r="C202" s="24"/>
      <c r="D202" s="24"/>
      <c r="E202" s="24"/>
      <c r="F202" s="24"/>
      <c r="G202" s="24"/>
      <c r="H202" s="48"/>
      <c r="I202" s="48"/>
    </row>
    <row r="203" ht="16.5" customHeight="1">
      <c r="B203" s="24"/>
      <c r="C203" s="24"/>
      <c r="D203" s="24"/>
      <c r="E203" s="24"/>
      <c r="F203" s="24"/>
      <c r="G203" s="24"/>
      <c r="H203" s="48"/>
      <c r="I203" s="48"/>
    </row>
    <row r="204" ht="16.5" customHeight="1">
      <c r="B204" s="24"/>
      <c r="C204" s="24"/>
      <c r="D204" s="24"/>
      <c r="E204" s="24"/>
      <c r="F204" s="24"/>
      <c r="G204" s="24"/>
      <c r="H204" s="48"/>
      <c r="I204" s="48"/>
    </row>
    <row r="205" ht="16.5" customHeight="1">
      <c r="B205" s="24"/>
      <c r="C205" s="24"/>
      <c r="D205" s="24"/>
      <c r="E205" s="24"/>
      <c r="F205" s="24"/>
      <c r="G205" s="24"/>
      <c r="H205" s="48"/>
      <c r="I205" s="48"/>
    </row>
    <row r="206" ht="16.5" customHeight="1">
      <c r="B206" s="24"/>
      <c r="C206" s="24"/>
      <c r="D206" s="24"/>
      <c r="E206" s="24"/>
      <c r="F206" s="24"/>
      <c r="G206" s="24"/>
      <c r="H206" s="48"/>
      <c r="I206" s="48"/>
    </row>
    <row r="207" ht="16.5" customHeight="1">
      <c r="B207" s="24"/>
      <c r="C207" s="24"/>
      <c r="D207" s="24"/>
      <c r="E207" s="24"/>
      <c r="F207" s="24"/>
      <c r="G207" s="24"/>
      <c r="H207" s="48"/>
      <c r="I207" s="48"/>
    </row>
    <row r="208" ht="16.5" customHeight="1">
      <c r="B208" s="24"/>
      <c r="C208" s="24"/>
      <c r="D208" s="24"/>
      <c r="E208" s="24"/>
      <c r="F208" s="24"/>
      <c r="G208" s="24"/>
      <c r="H208" s="48"/>
      <c r="I208" s="48"/>
    </row>
    <row r="209" ht="16.5" customHeight="1">
      <c r="B209" s="24"/>
      <c r="C209" s="24"/>
      <c r="D209" s="24"/>
      <c r="E209" s="24"/>
      <c r="F209" s="24"/>
      <c r="G209" s="24"/>
      <c r="H209" s="48"/>
      <c r="I209" s="48"/>
    </row>
    <row r="210" ht="16.5" customHeight="1">
      <c r="B210" s="24"/>
      <c r="C210" s="24"/>
      <c r="D210" s="24"/>
      <c r="E210" s="24"/>
      <c r="F210" s="24"/>
      <c r="G210" s="24"/>
      <c r="H210" s="48"/>
      <c r="I210" s="48"/>
    </row>
    <row r="211" ht="16.5" customHeight="1">
      <c r="B211" s="24"/>
      <c r="C211" s="24"/>
      <c r="D211" s="24"/>
      <c r="E211" s="24"/>
      <c r="F211" s="24"/>
      <c r="G211" s="24"/>
      <c r="H211" s="48"/>
      <c r="I211" s="48"/>
    </row>
    <row r="212" ht="16.5" customHeight="1">
      <c r="B212" s="24"/>
      <c r="C212" s="24"/>
      <c r="D212" s="24"/>
      <c r="E212" s="24"/>
      <c r="F212" s="24"/>
      <c r="G212" s="24"/>
      <c r="H212" s="48"/>
      <c r="I212" s="48"/>
    </row>
    <row r="213" ht="16.5" customHeight="1">
      <c r="B213" s="24"/>
      <c r="C213" s="24"/>
      <c r="D213" s="24"/>
      <c r="E213" s="24"/>
      <c r="F213" s="24"/>
      <c r="G213" s="24"/>
      <c r="H213" s="48"/>
      <c r="I213" s="48"/>
    </row>
    <row r="214" ht="16.5" customHeight="1">
      <c r="B214" s="24"/>
      <c r="C214" s="24"/>
      <c r="D214" s="24"/>
      <c r="E214" s="24"/>
      <c r="F214" s="24"/>
      <c r="G214" s="24"/>
      <c r="H214" s="48"/>
      <c r="I214" s="48"/>
    </row>
    <row r="215" ht="16.5" customHeight="1">
      <c r="B215" s="24"/>
      <c r="C215" s="24"/>
      <c r="D215" s="24"/>
      <c r="E215" s="24"/>
      <c r="F215" s="24"/>
      <c r="G215" s="24"/>
      <c r="H215" s="48"/>
      <c r="I215" s="48"/>
    </row>
    <row r="216" ht="16.5" customHeight="1">
      <c r="B216" s="24"/>
      <c r="C216" s="24"/>
      <c r="D216" s="24"/>
      <c r="E216" s="24"/>
      <c r="F216" s="24"/>
      <c r="G216" s="24"/>
      <c r="H216" s="48"/>
      <c r="I216" s="48"/>
    </row>
    <row r="217" ht="16.5" customHeight="1">
      <c r="B217" s="24"/>
      <c r="C217" s="24"/>
      <c r="D217" s="24"/>
      <c r="E217" s="24"/>
      <c r="F217" s="24"/>
      <c r="G217" s="24"/>
      <c r="H217" s="48"/>
      <c r="I217" s="48"/>
    </row>
    <row r="218" ht="16.5" customHeight="1">
      <c r="B218" s="24"/>
      <c r="C218" s="24"/>
      <c r="D218" s="24"/>
      <c r="E218" s="24"/>
      <c r="F218" s="24"/>
      <c r="G218" s="24"/>
      <c r="H218" s="48"/>
      <c r="I218" s="48"/>
    </row>
    <row r="219" ht="16.5" customHeight="1">
      <c r="B219" s="24"/>
      <c r="C219" s="24"/>
      <c r="D219" s="24"/>
      <c r="E219" s="24"/>
      <c r="F219" s="24"/>
      <c r="G219" s="24"/>
      <c r="H219" s="48"/>
      <c r="I219" s="48"/>
    </row>
    <row r="220" ht="16.5" customHeight="1">
      <c r="B220" s="24"/>
      <c r="C220" s="24"/>
      <c r="D220" s="24"/>
      <c r="E220" s="24"/>
      <c r="F220" s="24"/>
      <c r="G220" s="24"/>
      <c r="H220" s="48"/>
      <c r="I220" s="48"/>
    </row>
    <row r="221" ht="16.5" customHeight="1">
      <c r="B221" s="24"/>
      <c r="C221" s="24"/>
      <c r="D221" s="24"/>
      <c r="E221" s="24"/>
      <c r="F221" s="24"/>
      <c r="G221" s="24"/>
      <c r="H221" s="48"/>
      <c r="I221" s="48"/>
    </row>
    <row r="222" ht="16.5" customHeight="1">
      <c r="B222" s="24"/>
      <c r="C222" s="24"/>
      <c r="D222" s="24"/>
      <c r="E222" s="24"/>
      <c r="F222" s="24"/>
      <c r="G222" s="24"/>
      <c r="H222" s="48"/>
      <c r="I222" s="48"/>
    </row>
    <row r="223" ht="16.5" customHeight="1">
      <c r="B223" s="24"/>
      <c r="C223" s="24"/>
      <c r="D223" s="24"/>
      <c r="E223" s="24"/>
      <c r="F223" s="24"/>
      <c r="G223" s="24"/>
      <c r="H223" s="48"/>
      <c r="I223" s="48"/>
    </row>
    <row r="224" ht="16.5" customHeight="1">
      <c r="B224" s="24"/>
      <c r="C224" s="24"/>
      <c r="D224" s="24"/>
      <c r="E224" s="24"/>
      <c r="F224" s="24"/>
      <c r="G224" s="24"/>
      <c r="H224" s="48"/>
      <c r="I224" s="48"/>
    </row>
    <row r="225" ht="16.5" customHeight="1">
      <c r="B225" s="24"/>
      <c r="C225" s="24"/>
      <c r="D225" s="24"/>
      <c r="E225" s="24"/>
      <c r="F225" s="24"/>
      <c r="G225" s="24"/>
      <c r="H225" s="48"/>
      <c r="I225" s="48"/>
    </row>
    <row r="226" ht="16.5" customHeight="1">
      <c r="B226" s="24"/>
      <c r="C226" s="24"/>
      <c r="D226" s="24"/>
      <c r="E226" s="24"/>
      <c r="F226" s="24"/>
      <c r="G226" s="24"/>
      <c r="H226" s="48"/>
      <c r="I226" s="48"/>
    </row>
    <row r="227" ht="16.5" customHeight="1">
      <c r="B227" s="24"/>
      <c r="C227" s="24"/>
      <c r="D227" s="24"/>
      <c r="E227" s="24"/>
      <c r="F227" s="24"/>
      <c r="G227" s="24"/>
      <c r="H227" s="48"/>
      <c r="I227" s="48"/>
    </row>
    <row r="228" ht="16.5" customHeight="1">
      <c r="B228" s="24"/>
      <c r="C228" s="24"/>
      <c r="D228" s="24"/>
      <c r="E228" s="24"/>
      <c r="F228" s="24"/>
      <c r="G228" s="24"/>
      <c r="H228" s="48"/>
      <c r="I228" s="48"/>
    </row>
    <row r="229" ht="16.5" customHeight="1">
      <c r="B229" s="24"/>
      <c r="C229" s="24"/>
      <c r="D229" s="24"/>
      <c r="E229" s="24"/>
      <c r="F229" s="24"/>
      <c r="G229" s="24"/>
      <c r="H229" s="48"/>
      <c r="I229" s="48"/>
    </row>
    <row r="230" ht="16.5" customHeight="1">
      <c r="B230" s="24"/>
      <c r="C230" s="24"/>
      <c r="D230" s="24"/>
      <c r="E230" s="24"/>
      <c r="F230" s="24"/>
      <c r="G230" s="24"/>
      <c r="H230" s="48"/>
      <c r="I230" s="48"/>
    </row>
    <row r="231" ht="16.5" customHeight="1">
      <c r="B231" s="24"/>
      <c r="C231" s="24"/>
      <c r="D231" s="24"/>
      <c r="E231" s="24"/>
      <c r="F231" s="24"/>
      <c r="G231" s="24"/>
      <c r="H231" s="48"/>
      <c r="I231" s="48"/>
    </row>
    <row r="232" ht="16.5" customHeight="1">
      <c r="B232" s="24"/>
      <c r="C232" s="24"/>
      <c r="D232" s="24"/>
      <c r="E232" s="24"/>
      <c r="F232" s="24"/>
      <c r="G232" s="24"/>
      <c r="H232" s="48"/>
      <c r="I232" s="48"/>
    </row>
    <row r="233" ht="16.5" customHeight="1">
      <c r="B233" s="24"/>
      <c r="C233" s="24"/>
      <c r="D233" s="24"/>
      <c r="E233" s="24"/>
      <c r="F233" s="24"/>
      <c r="G233" s="24"/>
      <c r="H233" s="48"/>
      <c r="I233" s="48"/>
    </row>
    <row r="234" ht="16.5" customHeight="1">
      <c r="B234" s="24"/>
      <c r="C234" s="24"/>
      <c r="D234" s="24"/>
      <c r="E234" s="24"/>
      <c r="F234" s="24"/>
      <c r="G234" s="24"/>
      <c r="H234" s="48"/>
      <c r="I234" s="48"/>
    </row>
    <row r="235" ht="16.5" customHeight="1">
      <c r="B235" s="24"/>
      <c r="C235" s="24"/>
      <c r="D235" s="24"/>
      <c r="E235" s="24"/>
      <c r="F235" s="24"/>
      <c r="G235" s="24"/>
      <c r="H235" s="48"/>
      <c r="I235" s="48"/>
    </row>
    <row r="236" ht="16.5" customHeight="1">
      <c r="B236" s="24"/>
      <c r="C236" s="24"/>
      <c r="D236" s="24"/>
      <c r="E236" s="24"/>
      <c r="F236" s="24"/>
      <c r="G236" s="24"/>
      <c r="H236" s="48"/>
      <c r="I236" s="48"/>
    </row>
    <row r="237" ht="16.5" customHeight="1">
      <c r="B237" s="24"/>
      <c r="C237" s="24"/>
      <c r="D237" s="24"/>
      <c r="E237" s="24"/>
      <c r="F237" s="24"/>
      <c r="G237" s="24"/>
      <c r="H237" s="48"/>
      <c r="I237" s="48"/>
    </row>
    <row r="238" ht="16.5" customHeight="1">
      <c r="B238" s="24"/>
      <c r="C238" s="24"/>
      <c r="D238" s="24"/>
      <c r="E238" s="24"/>
      <c r="F238" s="24"/>
      <c r="G238" s="24"/>
      <c r="H238" s="48"/>
      <c r="I238" s="48"/>
    </row>
    <row r="239" ht="16.5" customHeight="1">
      <c r="B239" s="24"/>
      <c r="C239" s="24"/>
      <c r="D239" s="24"/>
      <c r="E239" s="24"/>
      <c r="F239" s="24"/>
      <c r="G239" s="24"/>
      <c r="H239" s="48"/>
      <c r="I239" s="48"/>
    </row>
    <row r="240" ht="16.5" customHeight="1">
      <c r="B240" s="24"/>
      <c r="C240" s="24"/>
      <c r="D240" s="24"/>
      <c r="E240" s="24"/>
      <c r="F240" s="24"/>
      <c r="G240" s="24"/>
      <c r="H240" s="48"/>
      <c r="I240" s="48"/>
    </row>
    <row r="241" ht="16.5" customHeight="1">
      <c r="B241" s="24"/>
      <c r="C241" s="24"/>
      <c r="D241" s="24"/>
      <c r="E241" s="24"/>
      <c r="F241" s="24"/>
      <c r="G241" s="24"/>
      <c r="H241" s="48"/>
      <c r="I241" s="48"/>
    </row>
    <row r="242" ht="16.5" customHeight="1">
      <c r="B242" s="24"/>
      <c r="C242" s="24"/>
      <c r="D242" s="24"/>
      <c r="E242" s="24"/>
      <c r="F242" s="24"/>
      <c r="G242" s="24"/>
      <c r="H242" s="48"/>
      <c r="I242" s="48"/>
    </row>
    <row r="243" ht="16.5" customHeight="1">
      <c r="B243" s="24"/>
      <c r="C243" s="24"/>
      <c r="D243" s="24"/>
      <c r="E243" s="24"/>
      <c r="F243" s="24"/>
      <c r="G243" s="24"/>
      <c r="H243" s="48"/>
      <c r="I243" s="48"/>
    </row>
    <row r="244" ht="16.5" customHeight="1">
      <c r="B244" s="24"/>
      <c r="C244" s="24"/>
      <c r="D244" s="24"/>
      <c r="E244" s="24"/>
      <c r="F244" s="24"/>
      <c r="G244" s="24"/>
      <c r="H244" s="48"/>
      <c r="I244" s="48"/>
    </row>
    <row r="245" ht="16.5" customHeight="1">
      <c r="B245" s="24"/>
      <c r="C245" s="24"/>
      <c r="D245" s="24"/>
      <c r="E245" s="24"/>
      <c r="F245" s="24"/>
      <c r="G245" s="24"/>
      <c r="H245" s="48"/>
      <c r="I245" s="48"/>
    </row>
    <row r="246" ht="16.5" customHeight="1">
      <c r="B246" s="24"/>
      <c r="C246" s="24"/>
      <c r="D246" s="24"/>
      <c r="E246" s="24"/>
      <c r="F246" s="24"/>
      <c r="G246" s="24"/>
      <c r="H246" s="48"/>
      <c r="I246" s="48"/>
    </row>
    <row r="247" ht="16.5" customHeight="1">
      <c r="B247" s="24"/>
      <c r="C247" s="24"/>
      <c r="D247" s="24"/>
      <c r="E247" s="24"/>
      <c r="F247" s="24"/>
      <c r="G247" s="24"/>
      <c r="H247" s="48"/>
      <c r="I247" s="48"/>
    </row>
    <row r="248" ht="16.5" customHeight="1">
      <c r="B248" s="24"/>
      <c r="C248" s="24"/>
      <c r="D248" s="24"/>
      <c r="E248" s="24"/>
      <c r="F248" s="24"/>
      <c r="G248" s="24"/>
      <c r="H248" s="48"/>
      <c r="I248" s="48"/>
    </row>
    <row r="249" ht="16.5" customHeight="1">
      <c r="B249" s="24"/>
      <c r="C249" s="24"/>
      <c r="D249" s="24"/>
      <c r="E249" s="24"/>
      <c r="F249" s="24"/>
      <c r="G249" s="24"/>
      <c r="H249" s="48"/>
      <c r="I249" s="48"/>
    </row>
    <row r="250" ht="16.5" customHeight="1">
      <c r="B250" s="24"/>
      <c r="C250" s="24"/>
      <c r="D250" s="24"/>
      <c r="E250" s="24"/>
      <c r="F250" s="24"/>
      <c r="G250" s="24"/>
      <c r="H250" s="48"/>
      <c r="I250" s="48"/>
    </row>
    <row r="251" ht="16.5" customHeight="1">
      <c r="B251" s="24"/>
      <c r="C251" s="24"/>
      <c r="D251" s="24"/>
      <c r="E251" s="24"/>
      <c r="F251" s="24"/>
      <c r="G251" s="24"/>
      <c r="H251" s="48"/>
      <c r="I251" s="48"/>
    </row>
    <row r="252" ht="16.5" customHeight="1">
      <c r="B252" s="24"/>
      <c r="C252" s="24"/>
      <c r="D252" s="24"/>
      <c r="E252" s="24"/>
      <c r="F252" s="24"/>
      <c r="G252" s="24"/>
      <c r="H252" s="48"/>
      <c r="I252" s="48"/>
    </row>
    <row r="253" ht="16.5" customHeight="1">
      <c r="B253" s="24"/>
      <c r="C253" s="24"/>
      <c r="D253" s="24"/>
      <c r="E253" s="24"/>
      <c r="F253" s="24"/>
      <c r="G253" s="24"/>
      <c r="H253" s="48"/>
      <c r="I253" s="48"/>
    </row>
    <row r="254" ht="16.5" customHeight="1">
      <c r="B254" s="24"/>
      <c r="C254" s="24"/>
      <c r="D254" s="24"/>
      <c r="E254" s="24"/>
      <c r="F254" s="24"/>
      <c r="G254" s="24"/>
      <c r="H254" s="48"/>
      <c r="I254" s="48"/>
    </row>
    <row r="255" ht="16.5" customHeight="1">
      <c r="B255" s="24"/>
      <c r="C255" s="24"/>
      <c r="D255" s="24"/>
      <c r="E255" s="24"/>
      <c r="F255" s="24"/>
      <c r="G255" s="24"/>
      <c r="H255" s="48"/>
      <c r="I255" s="48"/>
    </row>
    <row r="256" ht="16.5" customHeight="1">
      <c r="B256" s="24"/>
      <c r="C256" s="24"/>
      <c r="D256" s="24"/>
      <c r="E256" s="24"/>
      <c r="F256" s="24"/>
      <c r="G256" s="24"/>
      <c r="H256" s="48"/>
      <c r="I256" s="48"/>
    </row>
    <row r="257" ht="16.5" customHeight="1">
      <c r="B257" s="24"/>
      <c r="C257" s="24"/>
      <c r="D257" s="24"/>
      <c r="E257" s="24"/>
      <c r="F257" s="24"/>
      <c r="G257" s="24"/>
      <c r="H257" s="48"/>
      <c r="I257" s="48"/>
    </row>
    <row r="258" ht="16.5" customHeight="1">
      <c r="B258" s="24"/>
      <c r="C258" s="24"/>
      <c r="D258" s="24"/>
      <c r="E258" s="24"/>
      <c r="F258" s="24"/>
      <c r="G258" s="24"/>
      <c r="H258" s="48"/>
      <c r="I258" s="48"/>
    </row>
    <row r="259" ht="16.5" customHeight="1">
      <c r="B259" s="24"/>
      <c r="C259" s="24"/>
      <c r="D259" s="24"/>
      <c r="E259" s="24"/>
      <c r="F259" s="24"/>
      <c r="G259" s="24"/>
      <c r="H259" s="48"/>
      <c r="I259" s="48"/>
    </row>
    <row r="260" ht="16.5" customHeight="1">
      <c r="B260" s="24"/>
      <c r="C260" s="24"/>
      <c r="D260" s="24"/>
      <c r="E260" s="24"/>
      <c r="F260" s="24"/>
      <c r="G260" s="24"/>
      <c r="H260" s="48"/>
      <c r="I260" s="48"/>
    </row>
    <row r="261" ht="16.5" customHeight="1">
      <c r="B261" s="24"/>
      <c r="C261" s="24"/>
      <c r="D261" s="24"/>
      <c r="E261" s="24"/>
      <c r="F261" s="24"/>
      <c r="G261" s="24"/>
      <c r="H261" s="48"/>
      <c r="I261" s="48"/>
    </row>
    <row r="262" ht="16.5" customHeight="1">
      <c r="B262" s="24"/>
      <c r="C262" s="24"/>
      <c r="D262" s="24"/>
      <c r="E262" s="24"/>
      <c r="F262" s="24"/>
      <c r="G262" s="24"/>
      <c r="H262" s="48"/>
      <c r="I262" s="48"/>
    </row>
    <row r="263" ht="16.5" customHeight="1">
      <c r="B263" s="24"/>
      <c r="C263" s="24"/>
      <c r="D263" s="24"/>
      <c r="E263" s="24"/>
      <c r="F263" s="24"/>
      <c r="G263" s="24"/>
      <c r="H263" s="48"/>
      <c r="I263" s="48"/>
    </row>
    <row r="264" ht="16.5" customHeight="1">
      <c r="B264" s="24"/>
      <c r="C264" s="24"/>
      <c r="D264" s="24"/>
      <c r="E264" s="24"/>
      <c r="F264" s="24"/>
      <c r="G264" s="24"/>
      <c r="H264" s="48"/>
      <c r="I264" s="48"/>
    </row>
    <row r="265" ht="16.5" customHeight="1">
      <c r="B265" s="24"/>
      <c r="C265" s="24"/>
      <c r="D265" s="24"/>
      <c r="E265" s="24"/>
      <c r="F265" s="24"/>
      <c r="G265" s="24"/>
      <c r="H265" s="48"/>
      <c r="I265" s="48"/>
    </row>
    <row r="266" ht="16.5" customHeight="1">
      <c r="B266" s="24"/>
      <c r="C266" s="24"/>
      <c r="D266" s="24"/>
      <c r="E266" s="24"/>
      <c r="F266" s="24"/>
      <c r="G266" s="24"/>
      <c r="H266" s="48"/>
      <c r="I266" s="48"/>
    </row>
    <row r="267" ht="16.5" customHeight="1">
      <c r="B267" s="24"/>
      <c r="C267" s="24"/>
      <c r="D267" s="24"/>
      <c r="E267" s="24"/>
      <c r="F267" s="24"/>
      <c r="G267" s="24"/>
      <c r="H267" s="48"/>
      <c r="I267" s="48"/>
    </row>
    <row r="268" ht="16.5" customHeight="1">
      <c r="B268" s="24"/>
      <c r="C268" s="24"/>
      <c r="D268" s="24"/>
      <c r="E268" s="24"/>
      <c r="F268" s="24"/>
      <c r="G268" s="24"/>
      <c r="H268" s="48"/>
      <c r="I268" s="48"/>
    </row>
    <row r="269" ht="16.5" customHeight="1">
      <c r="B269" s="24"/>
      <c r="C269" s="24"/>
      <c r="D269" s="24"/>
      <c r="E269" s="24"/>
      <c r="F269" s="24"/>
      <c r="G269" s="24"/>
      <c r="H269" s="48"/>
      <c r="I269" s="48"/>
    </row>
    <row r="270" ht="16.5" customHeight="1">
      <c r="B270" s="24"/>
      <c r="C270" s="24"/>
      <c r="D270" s="24"/>
      <c r="E270" s="24"/>
      <c r="F270" s="24"/>
      <c r="G270" s="24"/>
      <c r="H270" s="48"/>
      <c r="I270" s="48"/>
    </row>
    <row r="271" ht="16.5" customHeight="1">
      <c r="B271" s="24"/>
      <c r="C271" s="24"/>
      <c r="D271" s="24"/>
      <c r="E271" s="24"/>
      <c r="F271" s="24"/>
      <c r="G271" s="24"/>
      <c r="H271" s="48"/>
      <c r="I271" s="48"/>
    </row>
    <row r="272" ht="16.5" customHeight="1">
      <c r="B272" s="24"/>
      <c r="C272" s="24"/>
      <c r="D272" s="24"/>
      <c r="E272" s="24"/>
      <c r="F272" s="24"/>
      <c r="G272" s="24"/>
      <c r="H272" s="48"/>
      <c r="I272" s="48"/>
    </row>
    <row r="273" ht="16.5" customHeight="1">
      <c r="B273" s="24"/>
      <c r="C273" s="24"/>
      <c r="D273" s="24"/>
      <c r="E273" s="24"/>
      <c r="F273" s="24"/>
      <c r="G273" s="24"/>
      <c r="H273" s="48"/>
      <c r="I273" s="48"/>
    </row>
    <row r="274" ht="16.5" customHeight="1">
      <c r="B274" s="24"/>
      <c r="C274" s="24"/>
      <c r="D274" s="24"/>
      <c r="E274" s="24"/>
      <c r="F274" s="24"/>
      <c r="G274" s="24"/>
      <c r="H274" s="48"/>
      <c r="I274" s="48"/>
    </row>
    <row r="275" ht="16.5" customHeight="1">
      <c r="B275" s="24"/>
      <c r="C275" s="24"/>
      <c r="D275" s="24"/>
      <c r="E275" s="24"/>
      <c r="F275" s="24"/>
      <c r="G275" s="24"/>
      <c r="H275" s="48"/>
      <c r="I275" s="48"/>
    </row>
    <row r="276" ht="16.5" customHeight="1">
      <c r="B276" s="24"/>
      <c r="C276" s="24"/>
      <c r="D276" s="24"/>
      <c r="E276" s="24"/>
      <c r="F276" s="24"/>
      <c r="G276" s="24"/>
      <c r="H276" s="48"/>
      <c r="I276" s="48"/>
    </row>
    <row r="277" ht="16.5" customHeight="1">
      <c r="B277" s="24"/>
      <c r="C277" s="24"/>
      <c r="D277" s="24"/>
      <c r="E277" s="24"/>
      <c r="F277" s="24"/>
      <c r="G277" s="24"/>
      <c r="H277" s="48"/>
      <c r="I277" s="48"/>
    </row>
    <row r="278" ht="16.5" customHeight="1">
      <c r="B278" s="24"/>
      <c r="C278" s="24"/>
      <c r="D278" s="24"/>
      <c r="E278" s="24"/>
      <c r="F278" s="24"/>
      <c r="G278" s="24"/>
      <c r="H278" s="48"/>
      <c r="I278" s="48"/>
    </row>
    <row r="279" ht="16.5" customHeight="1">
      <c r="B279" s="24"/>
      <c r="C279" s="24"/>
      <c r="D279" s="24"/>
      <c r="E279" s="24"/>
      <c r="F279" s="24"/>
      <c r="G279" s="24"/>
      <c r="H279" s="48"/>
      <c r="I279" s="48"/>
    </row>
    <row r="280" ht="16.5" customHeight="1">
      <c r="B280" s="24"/>
      <c r="C280" s="24"/>
      <c r="D280" s="24"/>
      <c r="E280" s="24"/>
      <c r="F280" s="24"/>
      <c r="G280" s="24"/>
      <c r="H280" s="48"/>
      <c r="I280" s="48"/>
    </row>
    <row r="281" ht="16.5" customHeight="1">
      <c r="B281" s="24"/>
      <c r="C281" s="24"/>
      <c r="D281" s="24"/>
      <c r="E281" s="24"/>
      <c r="F281" s="24"/>
      <c r="G281" s="24"/>
      <c r="H281" s="48"/>
      <c r="I281" s="48"/>
    </row>
    <row r="282" ht="16.5" customHeight="1">
      <c r="B282" s="24"/>
      <c r="C282" s="24"/>
      <c r="D282" s="24"/>
      <c r="E282" s="24"/>
      <c r="F282" s="24"/>
      <c r="G282" s="24"/>
      <c r="H282" s="48"/>
      <c r="I282" s="48"/>
    </row>
    <row r="283" ht="16.5" customHeight="1">
      <c r="B283" s="24"/>
      <c r="C283" s="24"/>
      <c r="D283" s="24"/>
      <c r="E283" s="24"/>
      <c r="F283" s="24"/>
      <c r="G283" s="24"/>
      <c r="H283" s="48"/>
      <c r="I283" s="48"/>
    </row>
    <row r="284" ht="16.5" customHeight="1">
      <c r="B284" s="24"/>
      <c r="C284" s="24"/>
      <c r="D284" s="24"/>
      <c r="E284" s="24"/>
      <c r="F284" s="24"/>
      <c r="G284" s="24"/>
      <c r="H284" s="48"/>
      <c r="I284" s="48"/>
    </row>
    <row r="285" ht="16.5" customHeight="1">
      <c r="B285" s="24"/>
      <c r="C285" s="24"/>
      <c r="D285" s="24"/>
      <c r="E285" s="24"/>
      <c r="F285" s="24"/>
      <c r="G285" s="24"/>
      <c r="H285" s="48"/>
      <c r="I285" s="48"/>
    </row>
    <row r="286" ht="16.5" customHeight="1">
      <c r="B286" s="24"/>
      <c r="C286" s="24"/>
      <c r="D286" s="24"/>
      <c r="E286" s="24"/>
      <c r="F286" s="24"/>
      <c r="G286" s="24"/>
      <c r="H286" s="48"/>
      <c r="I286" s="48"/>
    </row>
    <row r="287" ht="16.5" customHeight="1">
      <c r="B287" s="24"/>
      <c r="C287" s="24"/>
      <c r="D287" s="24"/>
      <c r="E287" s="24"/>
      <c r="F287" s="24"/>
      <c r="G287" s="24"/>
      <c r="H287" s="48"/>
      <c r="I287" s="48"/>
    </row>
    <row r="288" ht="16.5" customHeight="1">
      <c r="B288" s="24"/>
      <c r="C288" s="24"/>
      <c r="D288" s="24"/>
      <c r="E288" s="24"/>
      <c r="F288" s="24"/>
      <c r="G288" s="24"/>
      <c r="H288" s="48"/>
      <c r="I288" s="48"/>
    </row>
    <row r="289" ht="16.5" customHeight="1">
      <c r="B289" s="24"/>
      <c r="C289" s="24"/>
      <c r="D289" s="24"/>
      <c r="E289" s="24"/>
      <c r="F289" s="24"/>
      <c r="G289" s="24"/>
      <c r="H289" s="48"/>
      <c r="I289" s="48"/>
    </row>
    <row r="290" ht="16.5" customHeight="1">
      <c r="B290" s="24"/>
      <c r="C290" s="24"/>
      <c r="D290" s="24"/>
      <c r="E290" s="24"/>
      <c r="F290" s="24"/>
      <c r="G290" s="24"/>
      <c r="H290" s="48"/>
      <c r="I290" s="48"/>
    </row>
    <row r="291" ht="16.5" customHeight="1">
      <c r="B291" s="24"/>
      <c r="C291" s="24"/>
      <c r="D291" s="24"/>
      <c r="E291" s="24"/>
      <c r="F291" s="24"/>
      <c r="G291" s="24"/>
      <c r="H291" s="48"/>
      <c r="I291" s="48"/>
    </row>
    <row r="292" ht="16.5" customHeight="1">
      <c r="B292" s="24"/>
      <c r="C292" s="24"/>
      <c r="D292" s="24"/>
      <c r="E292" s="24"/>
      <c r="F292" s="24"/>
      <c r="G292" s="24"/>
      <c r="H292" s="48"/>
      <c r="I292" s="48"/>
    </row>
    <row r="293" ht="16.5" customHeight="1">
      <c r="B293" s="24"/>
      <c r="C293" s="24"/>
      <c r="D293" s="24"/>
      <c r="E293" s="24"/>
      <c r="F293" s="24"/>
      <c r="G293" s="24"/>
      <c r="H293" s="48"/>
      <c r="I293" s="48"/>
    </row>
    <row r="294" ht="16.5" customHeight="1">
      <c r="B294" s="24"/>
      <c r="C294" s="24"/>
      <c r="D294" s="24"/>
      <c r="E294" s="24"/>
      <c r="F294" s="24"/>
      <c r="G294" s="24"/>
      <c r="H294" s="48"/>
      <c r="I294" s="48"/>
    </row>
    <row r="295" ht="16.5" customHeight="1">
      <c r="B295" s="24"/>
      <c r="C295" s="24"/>
      <c r="D295" s="24"/>
      <c r="E295" s="24"/>
      <c r="F295" s="24"/>
      <c r="G295" s="24"/>
      <c r="H295" s="48"/>
      <c r="I295" s="48"/>
    </row>
    <row r="296" ht="16.5" customHeight="1">
      <c r="B296" s="24"/>
      <c r="C296" s="24"/>
      <c r="D296" s="24"/>
      <c r="E296" s="24"/>
      <c r="F296" s="24"/>
      <c r="G296" s="24"/>
      <c r="H296" s="48"/>
      <c r="I296" s="48"/>
    </row>
    <row r="297" ht="16.5" customHeight="1">
      <c r="B297" s="24"/>
      <c r="C297" s="24"/>
      <c r="D297" s="24"/>
      <c r="E297" s="24"/>
      <c r="F297" s="24"/>
      <c r="G297" s="24"/>
      <c r="H297" s="48"/>
      <c r="I297" s="48"/>
    </row>
    <row r="298" ht="16.5" customHeight="1">
      <c r="B298" s="24"/>
      <c r="C298" s="24"/>
      <c r="D298" s="24"/>
      <c r="E298" s="24"/>
      <c r="F298" s="24"/>
      <c r="G298" s="24"/>
      <c r="H298" s="48"/>
      <c r="I298" s="48"/>
    </row>
    <row r="299" ht="16.5" customHeight="1">
      <c r="B299" s="24"/>
      <c r="C299" s="24"/>
      <c r="D299" s="24"/>
      <c r="E299" s="24"/>
      <c r="F299" s="24"/>
      <c r="G299" s="24"/>
      <c r="H299" s="48"/>
      <c r="I299" s="48"/>
    </row>
    <row r="300" ht="16.5" customHeight="1">
      <c r="B300" s="24"/>
      <c r="C300" s="24"/>
      <c r="D300" s="24"/>
      <c r="E300" s="24"/>
      <c r="F300" s="24"/>
      <c r="G300" s="24"/>
      <c r="H300" s="48"/>
      <c r="I300" s="48"/>
    </row>
    <row r="301" ht="16.5" customHeight="1">
      <c r="B301" s="24"/>
      <c r="C301" s="24"/>
      <c r="D301" s="24"/>
      <c r="E301" s="24"/>
      <c r="F301" s="24"/>
      <c r="G301" s="24"/>
      <c r="H301" s="48"/>
      <c r="I301" s="48"/>
    </row>
    <row r="302" ht="16.5" customHeight="1">
      <c r="B302" s="24"/>
      <c r="C302" s="24"/>
      <c r="D302" s="24"/>
      <c r="E302" s="24"/>
      <c r="F302" s="24"/>
      <c r="G302" s="24"/>
      <c r="H302" s="48"/>
      <c r="I302" s="48"/>
    </row>
    <row r="303" ht="16.5" customHeight="1">
      <c r="B303" s="24"/>
      <c r="C303" s="24"/>
      <c r="D303" s="24"/>
      <c r="E303" s="24"/>
      <c r="F303" s="24"/>
      <c r="G303" s="24"/>
      <c r="H303" s="48"/>
      <c r="I303" s="48"/>
    </row>
    <row r="304" ht="16.5" customHeight="1">
      <c r="B304" s="24"/>
      <c r="C304" s="24"/>
      <c r="D304" s="24"/>
      <c r="E304" s="24"/>
      <c r="F304" s="24"/>
      <c r="G304" s="24"/>
      <c r="H304" s="48"/>
      <c r="I304" s="48"/>
    </row>
    <row r="305" ht="16.5" customHeight="1">
      <c r="B305" s="24"/>
      <c r="C305" s="24"/>
      <c r="D305" s="24"/>
      <c r="E305" s="24"/>
      <c r="F305" s="24"/>
      <c r="G305" s="24"/>
      <c r="H305" s="48"/>
      <c r="I305" s="48"/>
    </row>
    <row r="306" ht="16.5" customHeight="1">
      <c r="B306" s="24"/>
      <c r="C306" s="24"/>
      <c r="D306" s="24"/>
      <c r="E306" s="24"/>
      <c r="F306" s="24"/>
      <c r="G306" s="24"/>
      <c r="H306" s="48"/>
      <c r="I306" s="48"/>
    </row>
    <row r="307" ht="16.5" customHeight="1">
      <c r="B307" s="24"/>
      <c r="C307" s="24"/>
      <c r="D307" s="24"/>
      <c r="E307" s="24"/>
      <c r="F307" s="24"/>
      <c r="G307" s="24"/>
      <c r="H307" s="48"/>
      <c r="I307" s="48"/>
    </row>
    <row r="308" ht="16.5" customHeight="1">
      <c r="B308" s="24"/>
      <c r="C308" s="24"/>
      <c r="D308" s="24"/>
      <c r="E308" s="24"/>
      <c r="F308" s="24"/>
      <c r="G308" s="24"/>
      <c r="H308" s="48"/>
      <c r="I308" s="48"/>
    </row>
    <row r="309" ht="16.5" customHeight="1">
      <c r="B309" s="24"/>
      <c r="C309" s="24"/>
      <c r="D309" s="24"/>
      <c r="E309" s="24"/>
      <c r="F309" s="24"/>
      <c r="G309" s="24"/>
      <c r="H309" s="48"/>
      <c r="I309" s="48"/>
    </row>
    <row r="310" ht="16.5" customHeight="1">
      <c r="B310" s="24"/>
      <c r="C310" s="24"/>
      <c r="D310" s="24"/>
      <c r="E310" s="24"/>
      <c r="F310" s="24"/>
      <c r="G310" s="24"/>
      <c r="H310" s="48"/>
      <c r="I310" s="48"/>
    </row>
    <row r="311" ht="16.5" customHeight="1">
      <c r="B311" s="24"/>
      <c r="C311" s="24"/>
      <c r="D311" s="24"/>
      <c r="E311" s="24"/>
      <c r="F311" s="24"/>
      <c r="G311" s="24"/>
      <c r="H311" s="48"/>
      <c r="I311" s="48"/>
    </row>
    <row r="312" ht="16.5" customHeight="1">
      <c r="B312" s="24"/>
      <c r="C312" s="24"/>
      <c r="D312" s="24"/>
      <c r="E312" s="24"/>
      <c r="F312" s="24"/>
      <c r="G312" s="24"/>
      <c r="H312" s="48"/>
      <c r="I312" s="48"/>
    </row>
    <row r="313" ht="16.5" customHeight="1">
      <c r="B313" s="24"/>
      <c r="C313" s="24"/>
      <c r="D313" s="24"/>
      <c r="E313" s="24"/>
      <c r="F313" s="24"/>
      <c r="G313" s="24"/>
      <c r="H313" s="48"/>
      <c r="I313" s="48"/>
    </row>
    <row r="314" ht="16.5" customHeight="1">
      <c r="B314" s="24"/>
      <c r="C314" s="24"/>
      <c r="D314" s="24"/>
      <c r="E314" s="24"/>
      <c r="F314" s="24"/>
      <c r="G314" s="24"/>
      <c r="H314" s="48"/>
      <c r="I314" s="48"/>
    </row>
    <row r="315" ht="16.5" customHeight="1">
      <c r="B315" s="24"/>
      <c r="C315" s="24"/>
      <c r="D315" s="24"/>
      <c r="E315" s="24"/>
      <c r="F315" s="24"/>
      <c r="G315" s="24"/>
      <c r="H315" s="48"/>
      <c r="I315" s="48"/>
    </row>
    <row r="316" ht="16.5" customHeight="1">
      <c r="B316" s="24"/>
      <c r="C316" s="24"/>
      <c r="D316" s="24"/>
      <c r="E316" s="24"/>
      <c r="F316" s="24"/>
      <c r="G316" s="24"/>
      <c r="H316" s="48"/>
      <c r="I316" s="48"/>
    </row>
    <row r="317" ht="16.5" customHeight="1">
      <c r="B317" s="24"/>
      <c r="C317" s="24"/>
      <c r="D317" s="24"/>
      <c r="E317" s="24"/>
      <c r="F317" s="24"/>
      <c r="G317" s="24"/>
      <c r="H317" s="48"/>
      <c r="I317" s="48"/>
    </row>
    <row r="318" ht="16.5" customHeight="1">
      <c r="B318" s="24"/>
      <c r="C318" s="24"/>
      <c r="D318" s="24"/>
      <c r="E318" s="24"/>
      <c r="F318" s="24"/>
      <c r="G318" s="24"/>
      <c r="H318" s="48"/>
      <c r="I318" s="48"/>
    </row>
    <row r="319" ht="16.5" customHeight="1">
      <c r="B319" s="24"/>
      <c r="C319" s="24"/>
      <c r="D319" s="24"/>
      <c r="E319" s="24"/>
      <c r="F319" s="24"/>
      <c r="G319" s="24"/>
      <c r="H319" s="48"/>
      <c r="I319" s="48"/>
    </row>
    <row r="320" ht="16.5" customHeight="1">
      <c r="B320" s="24"/>
      <c r="C320" s="24"/>
      <c r="D320" s="24"/>
      <c r="E320" s="24"/>
      <c r="F320" s="24"/>
      <c r="G320" s="24"/>
      <c r="H320" s="48"/>
      <c r="I320" s="48"/>
    </row>
    <row r="321" ht="16.5" customHeight="1">
      <c r="B321" s="24"/>
      <c r="C321" s="24"/>
      <c r="D321" s="24"/>
      <c r="E321" s="24"/>
      <c r="F321" s="24"/>
      <c r="G321" s="24"/>
      <c r="H321" s="48"/>
      <c r="I321" s="48"/>
    </row>
    <row r="322" ht="16.5" customHeight="1">
      <c r="B322" s="24"/>
      <c r="C322" s="24"/>
      <c r="D322" s="24"/>
      <c r="E322" s="24"/>
      <c r="F322" s="24"/>
      <c r="G322" s="24"/>
      <c r="H322" s="48"/>
      <c r="I322" s="48"/>
    </row>
    <row r="323" ht="16.5" customHeight="1">
      <c r="B323" s="24"/>
      <c r="C323" s="24"/>
      <c r="D323" s="24"/>
      <c r="E323" s="24"/>
      <c r="F323" s="24"/>
      <c r="G323" s="24"/>
      <c r="H323" s="48"/>
      <c r="I323" s="48"/>
    </row>
    <row r="324" ht="16.5" customHeight="1">
      <c r="B324" s="24"/>
      <c r="C324" s="24"/>
      <c r="D324" s="24"/>
      <c r="E324" s="24"/>
      <c r="F324" s="24"/>
      <c r="G324" s="24"/>
      <c r="H324" s="48"/>
      <c r="I324" s="48"/>
    </row>
    <row r="325" ht="16.5" customHeight="1">
      <c r="B325" s="24"/>
      <c r="C325" s="24"/>
      <c r="D325" s="24"/>
      <c r="E325" s="24"/>
      <c r="F325" s="24"/>
      <c r="G325" s="24"/>
      <c r="H325" s="48"/>
      <c r="I325" s="48"/>
    </row>
    <row r="326" ht="16.5" customHeight="1">
      <c r="B326" s="24"/>
      <c r="C326" s="24"/>
      <c r="D326" s="24"/>
      <c r="E326" s="24"/>
      <c r="F326" s="24"/>
      <c r="G326" s="24"/>
      <c r="H326" s="48"/>
      <c r="I326" s="48"/>
    </row>
    <row r="327" ht="16.5" customHeight="1">
      <c r="B327" s="24"/>
      <c r="C327" s="24"/>
      <c r="D327" s="24"/>
      <c r="E327" s="24"/>
      <c r="F327" s="24"/>
      <c r="G327" s="24"/>
      <c r="H327" s="48"/>
      <c r="I327" s="48"/>
    </row>
    <row r="328" ht="16.5" customHeight="1">
      <c r="B328" s="24"/>
      <c r="C328" s="24"/>
      <c r="D328" s="24"/>
      <c r="E328" s="24"/>
      <c r="F328" s="24"/>
      <c r="G328" s="24"/>
      <c r="H328" s="48"/>
      <c r="I328" s="48"/>
    </row>
    <row r="329" ht="16.5" customHeight="1">
      <c r="B329" s="24"/>
      <c r="C329" s="24"/>
      <c r="D329" s="24"/>
      <c r="E329" s="24"/>
      <c r="F329" s="24"/>
      <c r="G329" s="24"/>
      <c r="H329" s="48"/>
      <c r="I329" s="48"/>
    </row>
    <row r="330" ht="16.5" customHeight="1">
      <c r="B330" s="24"/>
      <c r="C330" s="24"/>
      <c r="D330" s="24"/>
      <c r="E330" s="24"/>
      <c r="F330" s="24"/>
      <c r="G330" s="24"/>
      <c r="H330" s="48"/>
      <c r="I330" s="48"/>
    </row>
    <row r="331" ht="16.5" customHeight="1">
      <c r="B331" s="24"/>
      <c r="C331" s="24"/>
      <c r="D331" s="24"/>
      <c r="E331" s="24"/>
      <c r="F331" s="24"/>
      <c r="G331" s="24"/>
      <c r="H331" s="48"/>
      <c r="I331" s="48"/>
    </row>
    <row r="332" ht="16.5" customHeight="1">
      <c r="B332" s="24"/>
      <c r="C332" s="24"/>
      <c r="D332" s="24"/>
      <c r="E332" s="24"/>
      <c r="F332" s="24"/>
      <c r="G332" s="24"/>
      <c r="H332" s="48"/>
      <c r="I332" s="48"/>
    </row>
    <row r="333" ht="16.5" customHeight="1">
      <c r="B333" s="24"/>
      <c r="C333" s="24"/>
      <c r="D333" s="24"/>
      <c r="E333" s="24"/>
      <c r="F333" s="24"/>
      <c r="G333" s="24"/>
      <c r="H333" s="48"/>
      <c r="I333" s="48"/>
    </row>
    <row r="334" ht="16.5" customHeight="1">
      <c r="B334" s="24"/>
      <c r="C334" s="24"/>
      <c r="D334" s="24"/>
      <c r="E334" s="24"/>
      <c r="F334" s="24"/>
      <c r="G334" s="24"/>
      <c r="H334" s="48"/>
      <c r="I334" s="48"/>
    </row>
    <row r="335" ht="16.5" customHeight="1">
      <c r="B335" s="24"/>
      <c r="C335" s="24"/>
      <c r="D335" s="24"/>
      <c r="E335" s="24"/>
      <c r="F335" s="24"/>
      <c r="G335" s="24"/>
      <c r="H335" s="48"/>
      <c r="I335" s="48"/>
    </row>
    <row r="336" ht="16.5" customHeight="1">
      <c r="B336" s="24"/>
      <c r="C336" s="24"/>
      <c r="D336" s="24"/>
      <c r="E336" s="24"/>
      <c r="F336" s="24"/>
      <c r="G336" s="24"/>
      <c r="H336" s="48"/>
      <c r="I336" s="48"/>
    </row>
    <row r="337" ht="16.5" customHeight="1">
      <c r="B337" s="24"/>
      <c r="C337" s="24"/>
      <c r="D337" s="24"/>
      <c r="E337" s="24"/>
      <c r="F337" s="24"/>
      <c r="G337" s="24"/>
      <c r="H337" s="48"/>
      <c r="I337" s="48"/>
    </row>
    <row r="338" ht="16.5" customHeight="1">
      <c r="B338" s="24"/>
      <c r="C338" s="24"/>
      <c r="D338" s="24"/>
      <c r="E338" s="24"/>
      <c r="F338" s="24"/>
      <c r="G338" s="24"/>
      <c r="H338" s="48"/>
      <c r="I338" s="48"/>
    </row>
    <row r="339" ht="16.5" customHeight="1">
      <c r="B339" s="24"/>
      <c r="C339" s="24"/>
      <c r="D339" s="24"/>
      <c r="E339" s="24"/>
      <c r="F339" s="24"/>
      <c r="G339" s="24"/>
      <c r="H339" s="48"/>
      <c r="I339" s="48"/>
    </row>
    <row r="340" ht="16.5" customHeight="1">
      <c r="B340" s="24"/>
      <c r="C340" s="24"/>
      <c r="D340" s="24"/>
      <c r="E340" s="24"/>
      <c r="F340" s="24"/>
      <c r="G340" s="24"/>
      <c r="H340" s="48"/>
      <c r="I340" s="48"/>
    </row>
    <row r="341" ht="16.5" customHeight="1">
      <c r="B341" s="24"/>
      <c r="C341" s="24"/>
      <c r="D341" s="24"/>
      <c r="E341" s="24"/>
      <c r="F341" s="24"/>
      <c r="G341" s="24"/>
      <c r="H341" s="48"/>
      <c r="I341" s="48"/>
    </row>
    <row r="342" ht="16.5" customHeight="1">
      <c r="B342" s="24"/>
      <c r="C342" s="24"/>
      <c r="D342" s="24"/>
      <c r="E342" s="24"/>
      <c r="F342" s="24"/>
      <c r="G342" s="24"/>
      <c r="H342" s="48"/>
      <c r="I342" s="48"/>
    </row>
    <row r="343" ht="16.5" customHeight="1">
      <c r="B343" s="24"/>
      <c r="C343" s="24"/>
      <c r="D343" s="24"/>
      <c r="E343" s="24"/>
      <c r="F343" s="24"/>
      <c r="G343" s="24"/>
      <c r="H343" s="48"/>
      <c r="I343" s="48"/>
    </row>
    <row r="344" ht="16.5" customHeight="1">
      <c r="B344" s="24"/>
      <c r="C344" s="24"/>
      <c r="D344" s="24"/>
      <c r="E344" s="24"/>
      <c r="F344" s="24"/>
      <c r="G344" s="24"/>
      <c r="H344" s="48"/>
      <c r="I344" s="48"/>
    </row>
    <row r="345" ht="16.5" customHeight="1">
      <c r="B345" s="24"/>
      <c r="C345" s="24"/>
      <c r="D345" s="24"/>
      <c r="E345" s="24"/>
      <c r="F345" s="24"/>
      <c r="G345" s="24"/>
      <c r="H345" s="48"/>
      <c r="I345" s="48"/>
    </row>
    <row r="346" ht="16.5" customHeight="1">
      <c r="B346" s="24"/>
      <c r="C346" s="24"/>
      <c r="D346" s="24"/>
      <c r="E346" s="24"/>
      <c r="F346" s="24"/>
      <c r="G346" s="24"/>
      <c r="H346" s="48"/>
      <c r="I346" s="48"/>
    </row>
    <row r="347" ht="16.5" customHeight="1">
      <c r="B347" s="24"/>
      <c r="C347" s="24"/>
      <c r="D347" s="24"/>
      <c r="E347" s="24"/>
      <c r="F347" s="24"/>
      <c r="G347" s="24"/>
      <c r="H347" s="48"/>
      <c r="I347" s="48"/>
    </row>
    <row r="348" ht="16.5" customHeight="1">
      <c r="B348" s="24"/>
      <c r="C348" s="24"/>
      <c r="D348" s="24"/>
      <c r="E348" s="24"/>
      <c r="F348" s="24"/>
      <c r="G348" s="24"/>
      <c r="H348" s="48"/>
      <c r="I348" s="48"/>
    </row>
    <row r="349" ht="16.5" customHeight="1">
      <c r="B349" s="24"/>
      <c r="C349" s="24"/>
      <c r="D349" s="24"/>
      <c r="E349" s="24"/>
      <c r="F349" s="24"/>
      <c r="G349" s="24"/>
      <c r="H349" s="48"/>
      <c r="I349" s="48"/>
    </row>
    <row r="350" ht="16.5" customHeight="1">
      <c r="B350" s="24"/>
      <c r="C350" s="24"/>
      <c r="D350" s="24"/>
      <c r="E350" s="24"/>
      <c r="F350" s="24"/>
      <c r="G350" s="24"/>
      <c r="H350" s="48"/>
      <c r="I350" s="48"/>
    </row>
    <row r="351" ht="16.5" customHeight="1">
      <c r="B351" s="24"/>
      <c r="C351" s="24"/>
      <c r="D351" s="24"/>
      <c r="E351" s="24"/>
      <c r="F351" s="24"/>
      <c r="G351" s="24"/>
      <c r="H351" s="48"/>
      <c r="I351" s="48"/>
    </row>
    <row r="352" ht="16.5" customHeight="1">
      <c r="B352" s="24"/>
      <c r="C352" s="24"/>
      <c r="D352" s="24"/>
      <c r="E352" s="24"/>
      <c r="F352" s="24"/>
      <c r="G352" s="24"/>
      <c r="H352" s="48"/>
      <c r="I352" s="48"/>
    </row>
    <row r="353" ht="16.5" customHeight="1">
      <c r="B353" s="24"/>
      <c r="C353" s="24"/>
      <c r="D353" s="24"/>
      <c r="E353" s="24"/>
      <c r="F353" s="24"/>
      <c r="G353" s="24"/>
      <c r="H353" s="48"/>
      <c r="I353" s="48"/>
    </row>
    <row r="354" ht="16.5" customHeight="1">
      <c r="B354" s="24"/>
      <c r="C354" s="24"/>
      <c r="D354" s="24"/>
      <c r="E354" s="24"/>
      <c r="F354" s="24"/>
      <c r="G354" s="24"/>
      <c r="H354" s="48"/>
      <c r="I354" s="48"/>
    </row>
    <row r="355" ht="16.5" customHeight="1">
      <c r="B355" s="24"/>
      <c r="C355" s="24"/>
      <c r="D355" s="24"/>
      <c r="E355" s="24"/>
      <c r="F355" s="24"/>
      <c r="G355" s="24"/>
      <c r="H355" s="48"/>
      <c r="I355" s="48"/>
    </row>
    <row r="356" ht="16.5" customHeight="1">
      <c r="B356" s="24"/>
      <c r="C356" s="24"/>
      <c r="D356" s="24"/>
      <c r="E356" s="24"/>
      <c r="F356" s="24"/>
      <c r="G356" s="24"/>
      <c r="H356" s="48"/>
      <c r="I356" s="48"/>
    </row>
    <row r="357" ht="16.5" customHeight="1">
      <c r="B357" s="24"/>
      <c r="C357" s="24"/>
      <c r="D357" s="24"/>
      <c r="E357" s="24"/>
      <c r="F357" s="24"/>
      <c r="G357" s="24"/>
      <c r="H357" s="48"/>
      <c r="I357" s="48"/>
    </row>
    <row r="358" ht="16.5" customHeight="1">
      <c r="B358" s="24"/>
      <c r="C358" s="24"/>
      <c r="D358" s="24"/>
      <c r="E358" s="24"/>
      <c r="F358" s="24"/>
      <c r="G358" s="24"/>
      <c r="H358" s="48"/>
      <c r="I358" s="48"/>
    </row>
    <row r="359" ht="16.5" customHeight="1">
      <c r="B359" s="24"/>
      <c r="C359" s="24"/>
      <c r="D359" s="24"/>
      <c r="E359" s="24"/>
      <c r="F359" s="24"/>
      <c r="G359" s="24"/>
      <c r="H359" s="48"/>
      <c r="I359" s="48"/>
    </row>
    <row r="360" ht="16.5" customHeight="1">
      <c r="B360" s="24"/>
      <c r="C360" s="24"/>
      <c r="D360" s="24"/>
      <c r="E360" s="24"/>
      <c r="F360" s="24"/>
      <c r="G360" s="24"/>
      <c r="H360" s="48"/>
      <c r="I360" s="48"/>
    </row>
    <row r="361" ht="16.5" customHeight="1">
      <c r="B361" s="24"/>
      <c r="C361" s="24"/>
      <c r="D361" s="24"/>
      <c r="E361" s="24"/>
      <c r="F361" s="24"/>
      <c r="G361" s="24"/>
      <c r="H361" s="48"/>
      <c r="I361" s="48"/>
    </row>
    <row r="362" ht="16.5" customHeight="1">
      <c r="B362" s="24"/>
      <c r="C362" s="24"/>
      <c r="D362" s="24"/>
      <c r="E362" s="24"/>
      <c r="F362" s="24"/>
      <c r="G362" s="24"/>
      <c r="H362" s="48"/>
      <c r="I362" s="48"/>
    </row>
    <row r="363" ht="16.5" customHeight="1">
      <c r="B363" s="24"/>
      <c r="C363" s="24"/>
      <c r="D363" s="24"/>
      <c r="E363" s="24"/>
      <c r="F363" s="24"/>
      <c r="G363" s="24"/>
      <c r="H363" s="48"/>
      <c r="I363" s="48"/>
    </row>
    <row r="364" ht="16.5" customHeight="1">
      <c r="B364" s="24"/>
      <c r="C364" s="24"/>
      <c r="D364" s="24"/>
      <c r="E364" s="24"/>
      <c r="F364" s="24"/>
      <c r="G364" s="24"/>
      <c r="H364" s="48"/>
      <c r="I364" s="48"/>
    </row>
    <row r="365" ht="16.5" customHeight="1">
      <c r="B365" s="24"/>
      <c r="C365" s="24"/>
      <c r="D365" s="24"/>
      <c r="E365" s="24"/>
      <c r="F365" s="24"/>
      <c r="G365" s="24"/>
      <c r="H365" s="48"/>
      <c r="I365" s="48"/>
    </row>
    <row r="366" ht="16.5" customHeight="1">
      <c r="B366" s="24"/>
      <c r="C366" s="24"/>
      <c r="D366" s="24"/>
      <c r="E366" s="24"/>
      <c r="F366" s="24"/>
      <c r="G366" s="24"/>
      <c r="H366" s="48"/>
      <c r="I366" s="48"/>
    </row>
    <row r="367" ht="16.5" customHeight="1">
      <c r="B367" s="24"/>
      <c r="C367" s="24"/>
      <c r="D367" s="24"/>
      <c r="E367" s="24"/>
      <c r="F367" s="24"/>
      <c r="G367" s="24"/>
      <c r="H367" s="48"/>
      <c r="I367" s="48"/>
    </row>
    <row r="368" ht="16.5" customHeight="1">
      <c r="B368" s="24"/>
      <c r="C368" s="24"/>
      <c r="D368" s="24"/>
      <c r="E368" s="24"/>
      <c r="F368" s="24"/>
      <c r="G368" s="24"/>
      <c r="H368" s="48"/>
      <c r="I368" s="48"/>
    </row>
    <row r="369" ht="16.5" customHeight="1">
      <c r="B369" s="24"/>
      <c r="C369" s="24"/>
      <c r="D369" s="24"/>
      <c r="E369" s="24"/>
      <c r="F369" s="24"/>
      <c r="G369" s="24"/>
      <c r="H369" s="48"/>
      <c r="I369" s="48"/>
    </row>
    <row r="370" ht="16.5" customHeight="1">
      <c r="B370" s="24"/>
      <c r="C370" s="24"/>
      <c r="D370" s="24"/>
      <c r="E370" s="24"/>
      <c r="F370" s="24"/>
      <c r="G370" s="24"/>
      <c r="H370" s="48"/>
      <c r="I370" s="48"/>
    </row>
    <row r="371" ht="16.5" customHeight="1">
      <c r="B371" s="24"/>
      <c r="C371" s="24"/>
      <c r="D371" s="24"/>
      <c r="E371" s="24"/>
      <c r="F371" s="24"/>
      <c r="G371" s="24"/>
      <c r="H371" s="48"/>
      <c r="I371" s="48"/>
    </row>
    <row r="372" ht="16.5" customHeight="1">
      <c r="B372" s="24"/>
      <c r="C372" s="24"/>
      <c r="D372" s="24"/>
      <c r="E372" s="24"/>
      <c r="F372" s="24"/>
      <c r="G372" s="24"/>
      <c r="H372" s="48"/>
      <c r="I372" s="48"/>
    </row>
    <row r="373" ht="16.5" customHeight="1">
      <c r="B373" s="24"/>
      <c r="C373" s="24"/>
      <c r="D373" s="24"/>
      <c r="E373" s="24"/>
      <c r="F373" s="24"/>
      <c r="G373" s="24"/>
      <c r="H373" s="48"/>
      <c r="I373" s="48"/>
    </row>
    <row r="374" ht="16.5" customHeight="1">
      <c r="B374" s="24"/>
      <c r="C374" s="24"/>
      <c r="D374" s="24"/>
      <c r="E374" s="24"/>
      <c r="F374" s="24"/>
      <c r="G374" s="24"/>
      <c r="H374" s="48"/>
      <c r="I374" s="48"/>
    </row>
    <row r="375" ht="16.5" customHeight="1">
      <c r="B375" s="24"/>
      <c r="C375" s="24"/>
      <c r="D375" s="24"/>
      <c r="E375" s="24"/>
      <c r="F375" s="24"/>
      <c r="G375" s="24"/>
      <c r="H375" s="48"/>
      <c r="I375" s="48"/>
    </row>
    <row r="376" ht="16.5" customHeight="1">
      <c r="B376" s="24"/>
      <c r="C376" s="24"/>
      <c r="D376" s="24"/>
      <c r="E376" s="24"/>
      <c r="F376" s="24"/>
      <c r="G376" s="24"/>
      <c r="H376" s="48"/>
      <c r="I376" s="48"/>
    </row>
    <row r="377" ht="16.5" customHeight="1">
      <c r="B377" s="24"/>
      <c r="C377" s="24"/>
      <c r="D377" s="24"/>
      <c r="E377" s="24"/>
      <c r="F377" s="24"/>
      <c r="G377" s="24"/>
      <c r="H377" s="48"/>
      <c r="I377" s="48"/>
    </row>
    <row r="378" ht="16.5" customHeight="1">
      <c r="B378" s="24"/>
      <c r="C378" s="24"/>
      <c r="D378" s="24"/>
      <c r="E378" s="24"/>
      <c r="F378" s="24"/>
      <c r="G378" s="24"/>
      <c r="H378" s="48"/>
      <c r="I378" s="48"/>
    </row>
    <row r="379" ht="16.5" customHeight="1">
      <c r="B379" s="24"/>
      <c r="C379" s="24"/>
      <c r="D379" s="24"/>
      <c r="E379" s="24"/>
      <c r="F379" s="24"/>
      <c r="G379" s="24"/>
      <c r="H379" s="48"/>
      <c r="I379" s="48"/>
    </row>
    <row r="380" ht="16.5" customHeight="1">
      <c r="B380" s="24"/>
      <c r="C380" s="24"/>
      <c r="D380" s="24"/>
      <c r="E380" s="24"/>
      <c r="F380" s="24"/>
      <c r="G380" s="24"/>
      <c r="H380" s="48"/>
      <c r="I380" s="48"/>
    </row>
    <row r="381" ht="16.5" customHeight="1">
      <c r="B381" s="24"/>
      <c r="C381" s="24"/>
      <c r="D381" s="24"/>
      <c r="E381" s="24"/>
      <c r="F381" s="24"/>
      <c r="G381" s="24"/>
      <c r="H381" s="48"/>
      <c r="I381" s="48"/>
    </row>
    <row r="382" ht="16.5" customHeight="1">
      <c r="B382" s="24"/>
      <c r="C382" s="24"/>
      <c r="D382" s="24"/>
      <c r="E382" s="24"/>
      <c r="F382" s="24"/>
      <c r="G382" s="24"/>
      <c r="H382" s="48"/>
      <c r="I382" s="48"/>
    </row>
    <row r="383" ht="16.5" customHeight="1">
      <c r="B383" s="24"/>
      <c r="C383" s="24"/>
      <c r="D383" s="24"/>
      <c r="E383" s="24"/>
      <c r="F383" s="24"/>
      <c r="G383" s="24"/>
      <c r="H383" s="48"/>
      <c r="I383" s="48"/>
    </row>
    <row r="384" ht="16.5" customHeight="1">
      <c r="B384" s="24"/>
      <c r="C384" s="24"/>
      <c r="D384" s="24"/>
      <c r="E384" s="24"/>
      <c r="F384" s="24"/>
      <c r="G384" s="24"/>
      <c r="H384" s="48"/>
      <c r="I384" s="48"/>
    </row>
    <row r="385" ht="16.5" customHeight="1">
      <c r="B385" s="24"/>
      <c r="C385" s="24"/>
      <c r="D385" s="24"/>
      <c r="E385" s="24"/>
      <c r="F385" s="24"/>
      <c r="G385" s="24"/>
      <c r="H385" s="48"/>
      <c r="I385" s="48"/>
    </row>
    <row r="386" ht="16.5" customHeight="1">
      <c r="B386" s="24"/>
      <c r="C386" s="24"/>
      <c r="D386" s="24"/>
      <c r="E386" s="24"/>
      <c r="F386" s="24"/>
      <c r="G386" s="24"/>
      <c r="H386" s="48"/>
      <c r="I386" s="48"/>
    </row>
    <row r="387" ht="16.5" customHeight="1">
      <c r="B387" s="24"/>
      <c r="C387" s="24"/>
      <c r="D387" s="24"/>
      <c r="E387" s="24"/>
      <c r="F387" s="24"/>
      <c r="G387" s="24"/>
      <c r="H387" s="48"/>
      <c r="I387" s="48"/>
    </row>
    <row r="388" ht="16.5" customHeight="1">
      <c r="B388" s="24"/>
      <c r="C388" s="24"/>
      <c r="D388" s="24"/>
      <c r="E388" s="24"/>
      <c r="F388" s="24"/>
      <c r="G388" s="24"/>
      <c r="H388" s="48"/>
      <c r="I388" s="48"/>
    </row>
    <row r="389" ht="16.5" customHeight="1">
      <c r="B389" s="24"/>
      <c r="C389" s="24"/>
      <c r="D389" s="24"/>
      <c r="E389" s="24"/>
      <c r="F389" s="24"/>
      <c r="G389" s="24"/>
      <c r="H389" s="48"/>
      <c r="I389" s="48"/>
    </row>
    <row r="390" ht="16.5" customHeight="1">
      <c r="B390" s="24"/>
      <c r="C390" s="24"/>
      <c r="D390" s="24"/>
      <c r="E390" s="24"/>
      <c r="F390" s="24"/>
      <c r="G390" s="24"/>
      <c r="H390" s="48"/>
      <c r="I390" s="48"/>
    </row>
    <row r="391" ht="16.5" customHeight="1">
      <c r="B391" s="24"/>
      <c r="C391" s="24"/>
      <c r="D391" s="24"/>
      <c r="E391" s="24"/>
      <c r="F391" s="24"/>
      <c r="G391" s="24"/>
      <c r="H391" s="48"/>
      <c r="I391" s="48"/>
    </row>
    <row r="392" ht="16.5" customHeight="1">
      <c r="B392" s="24"/>
      <c r="C392" s="24"/>
      <c r="D392" s="24"/>
      <c r="E392" s="24"/>
      <c r="F392" s="24"/>
      <c r="G392" s="24"/>
      <c r="H392" s="48"/>
      <c r="I392" s="48"/>
    </row>
    <row r="393" ht="16.5" customHeight="1">
      <c r="B393" s="24"/>
      <c r="C393" s="24"/>
      <c r="D393" s="24"/>
      <c r="E393" s="24"/>
      <c r="F393" s="24"/>
      <c r="G393" s="24"/>
      <c r="H393" s="48"/>
      <c r="I393" s="48"/>
    </row>
    <row r="394" ht="16.5" customHeight="1">
      <c r="B394" s="24"/>
      <c r="C394" s="24"/>
      <c r="D394" s="24"/>
      <c r="E394" s="24"/>
      <c r="F394" s="24"/>
      <c r="G394" s="24"/>
      <c r="H394" s="48"/>
      <c r="I394" s="48"/>
    </row>
    <row r="395" ht="16.5" customHeight="1">
      <c r="B395" s="24"/>
      <c r="C395" s="24"/>
      <c r="D395" s="24"/>
      <c r="E395" s="24"/>
      <c r="F395" s="24"/>
      <c r="G395" s="24"/>
      <c r="H395" s="48"/>
      <c r="I395" s="48"/>
    </row>
    <row r="396" ht="16.5" customHeight="1">
      <c r="B396" s="24"/>
      <c r="C396" s="24"/>
      <c r="D396" s="24"/>
      <c r="E396" s="24"/>
      <c r="F396" s="24"/>
      <c r="G396" s="24"/>
      <c r="H396" s="48"/>
      <c r="I396" s="48"/>
    </row>
    <row r="397" ht="16.5" customHeight="1">
      <c r="B397" s="24"/>
      <c r="C397" s="24"/>
      <c r="D397" s="24"/>
      <c r="E397" s="24"/>
      <c r="F397" s="24"/>
      <c r="G397" s="24"/>
      <c r="H397" s="48"/>
      <c r="I397" s="48"/>
    </row>
    <row r="398" ht="16.5" customHeight="1">
      <c r="B398" s="24"/>
      <c r="C398" s="24"/>
      <c r="D398" s="24"/>
      <c r="E398" s="24"/>
      <c r="F398" s="24"/>
      <c r="G398" s="24"/>
      <c r="H398" s="48"/>
      <c r="I398" s="48"/>
    </row>
    <row r="399" ht="16.5" customHeight="1">
      <c r="B399" s="24"/>
      <c r="C399" s="24"/>
      <c r="D399" s="24"/>
      <c r="E399" s="24"/>
      <c r="F399" s="24"/>
      <c r="G399" s="24"/>
      <c r="H399" s="48"/>
      <c r="I399" s="48"/>
    </row>
    <row r="400" ht="16.5" customHeight="1">
      <c r="B400" s="24"/>
      <c r="C400" s="24"/>
      <c r="D400" s="24"/>
      <c r="E400" s="24"/>
      <c r="F400" s="24"/>
      <c r="G400" s="24"/>
      <c r="H400" s="48"/>
      <c r="I400" s="48"/>
    </row>
    <row r="401" ht="16.5" customHeight="1">
      <c r="B401" s="24"/>
      <c r="C401" s="24"/>
      <c r="D401" s="24"/>
      <c r="E401" s="24"/>
      <c r="F401" s="24"/>
      <c r="G401" s="24"/>
      <c r="H401" s="48"/>
      <c r="I401" s="48"/>
    </row>
    <row r="402" ht="16.5" customHeight="1">
      <c r="B402" s="24"/>
      <c r="C402" s="24"/>
      <c r="D402" s="24"/>
      <c r="E402" s="24"/>
      <c r="F402" s="24"/>
      <c r="G402" s="24"/>
      <c r="H402" s="48"/>
      <c r="I402" s="48"/>
    </row>
    <row r="403" ht="16.5" customHeight="1">
      <c r="B403" s="24"/>
      <c r="C403" s="24"/>
      <c r="D403" s="24"/>
      <c r="E403" s="24"/>
      <c r="F403" s="24"/>
      <c r="G403" s="24"/>
      <c r="H403" s="48"/>
      <c r="I403" s="48"/>
    </row>
    <row r="404" ht="16.5" customHeight="1">
      <c r="B404" s="24"/>
      <c r="C404" s="24"/>
      <c r="D404" s="24"/>
      <c r="E404" s="24"/>
      <c r="F404" s="24"/>
      <c r="G404" s="24"/>
      <c r="H404" s="48"/>
      <c r="I404" s="48"/>
    </row>
    <row r="405" ht="16.5" customHeight="1">
      <c r="B405" s="24"/>
      <c r="C405" s="24"/>
      <c r="D405" s="24"/>
      <c r="E405" s="24"/>
      <c r="F405" s="24"/>
      <c r="G405" s="24"/>
      <c r="H405" s="48"/>
      <c r="I405" s="48"/>
    </row>
    <row r="406" ht="16.5" customHeight="1">
      <c r="B406" s="24"/>
      <c r="C406" s="24"/>
      <c r="D406" s="24"/>
      <c r="E406" s="24"/>
      <c r="F406" s="24"/>
      <c r="G406" s="24"/>
      <c r="H406" s="48"/>
      <c r="I406" s="48"/>
    </row>
    <row r="407" ht="16.5" customHeight="1">
      <c r="B407" s="24"/>
      <c r="C407" s="24"/>
      <c r="D407" s="24"/>
      <c r="E407" s="24"/>
      <c r="F407" s="24"/>
      <c r="G407" s="24"/>
      <c r="H407" s="48"/>
      <c r="I407" s="48"/>
    </row>
    <row r="408" ht="16.5" customHeight="1">
      <c r="B408" s="24"/>
      <c r="C408" s="24"/>
      <c r="D408" s="24"/>
      <c r="E408" s="24"/>
      <c r="F408" s="24"/>
      <c r="G408" s="24"/>
      <c r="H408" s="48"/>
      <c r="I408" s="48"/>
    </row>
    <row r="409" ht="16.5" customHeight="1">
      <c r="B409" s="24"/>
      <c r="C409" s="24"/>
      <c r="D409" s="24"/>
      <c r="E409" s="24"/>
      <c r="F409" s="24"/>
      <c r="G409" s="24"/>
      <c r="H409" s="48"/>
      <c r="I409" s="48"/>
    </row>
    <row r="410" ht="16.5" customHeight="1">
      <c r="B410" s="24"/>
      <c r="C410" s="24"/>
      <c r="D410" s="24"/>
      <c r="E410" s="24"/>
      <c r="F410" s="24"/>
      <c r="G410" s="24"/>
      <c r="H410" s="48"/>
      <c r="I410" s="48"/>
    </row>
    <row r="411" ht="16.5" customHeight="1">
      <c r="B411" s="24"/>
      <c r="C411" s="24"/>
      <c r="D411" s="24"/>
      <c r="E411" s="24"/>
      <c r="F411" s="24"/>
      <c r="G411" s="24"/>
      <c r="H411" s="48"/>
      <c r="I411" s="48"/>
    </row>
    <row r="412" ht="16.5" customHeight="1">
      <c r="B412" s="24"/>
      <c r="C412" s="24"/>
      <c r="D412" s="24"/>
      <c r="E412" s="24"/>
      <c r="F412" s="24"/>
      <c r="G412" s="24"/>
      <c r="H412" s="48"/>
      <c r="I412" s="48"/>
    </row>
    <row r="413" ht="16.5" customHeight="1">
      <c r="B413" s="24"/>
      <c r="C413" s="24"/>
      <c r="D413" s="24"/>
      <c r="E413" s="24"/>
      <c r="F413" s="24"/>
      <c r="G413" s="24"/>
      <c r="H413" s="48"/>
      <c r="I413" s="48"/>
    </row>
    <row r="414" ht="16.5" customHeight="1">
      <c r="B414" s="24"/>
      <c r="C414" s="24"/>
      <c r="D414" s="24"/>
      <c r="E414" s="24"/>
      <c r="F414" s="24"/>
      <c r="G414" s="24"/>
      <c r="H414" s="48"/>
      <c r="I414" s="48"/>
    </row>
    <row r="415" ht="16.5" customHeight="1">
      <c r="B415" s="24"/>
      <c r="C415" s="24"/>
      <c r="D415" s="24"/>
      <c r="E415" s="24"/>
      <c r="F415" s="24"/>
      <c r="G415" s="24"/>
      <c r="H415" s="48"/>
      <c r="I415" s="48"/>
    </row>
    <row r="416" ht="16.5" customHeight="1">
      <c r="B416" s="24"/>
      <c r="C416" s="24"/>
      <c r="D416" s="24"/>
      <c r="E416" s="24"/>
      <c r="F416" s="24"/>
      <c r="G416" s="24"/>
      <c r="H416" s="48"/>
      <c r="I416" s="48"/>
    </row>
    <row r="417" ht="16.5" customHeight="1">
      <c r="B417" s="24"/>
      <c r="C417" s="24"/>
      <c r="D417" s="24"/>
      <c r="E417" s="24"/>
      <c r="F417" s="24"/>
      <c r="G417" s="24"/>
      <c r="H417" s="48"/>
      <c r="I417" s="48"/>
    </row>
    <row r="418" ht="16.5" customHeight="1">
      <c r="B418" s="24"/>
      <c r="C418" s="24"/>
      <c r="D418" s="24"/>
      <c r="E418" s="24"/>
      <c r="F418" s="24"/>
      <c r="G418" s="24"/>
      <c r="H418" s="48"/>
      <c r="I418" s="48"/>
    </row>
    <row r="419" ht="16.5" customHeight="1">
      <c r="B419" s="24"/>
      <c r="C419" s="24"/>
      <c r="D419" s="24"/>
      <c r="E419" s="24"/>
      <c r="F419" s="24"/>
      <c r="G419" s="24"/>
      <c r="H419" s="48"/>
      <c r="I419" s="48"/>
    </row>
    <row r="420" ht="16.5" customHeight="1">
      <c r="B420" s="24"/>
      <c r="C420" s="24"/>
      <c r="D420" s="24"/>
      <c r="E420" s="24"/>
      <c r="F420" s="24"/>
      <c r="G420" s="24"/>
      <c r="H420" s="48"/>
      <c r="I420" s="48"/>
    </row>
    <row r="421" ht="16.5" customHeight="1">
      <c r="B421" s="24"/>
      <c r="C421" s="24"/>
      <c r="D421" s="24"/>
      <c r="E421" s="24"/>
      <c r="F421" s="24"/>
      <c r="G421" s="24"/>
      <c r="H421" s="48"/>
      <c r="I421" s="48"/>
    </row>
    <row r="422" ht="16.5" customHeight="1">
      <c r="B422" s="24"/>
      <c r="C422" s="24"/>
      <c r="D422" s="24"/>
      <c r="E422" s="24"/>
      <c r="F422" s="24"/>
      <c r="G422" s="24"/>
      <c r="H422" s="48"/>
      <c r="I422" s="48"/>
    </row>
    <row r="423" ht="16.5" customHeight="1">
      <c r="B423" s="24"/>
      <c r="C423" s="24"/>
      <c r="D423" s="24"/>
      <c r="E423" s="24"/>
      <c r="F423" s="24"/>
      <c r="G423" s="24"/>
      <c r="H423" s="48"/>
      <c r="I423" s="48"/>
    </row>
    <row r="424" ht="16.5" customHeight="1">
      <c r="B424" s="24"/>
      <c r="C424" s="24"/>
      <c r="D424" s="24"/>
      <c r="E424" s="24"/>
      <c r="F424" s="24"/>
      <c r="G424" s="24"/>
      <c r="H424" s="48"/>
      <c r="I424" s="48"/>
    </row>
    <row r="425" ht="16.5" customHeight="1">
      <c r="B425" s="24"/>
      <c r="C425" s="24"/>
      <c r="D425" s="24"/>
      <c r="E425" s="24"/>
      <c r="F425" s="24"/>
      <c r="G425" s="24"/>
      <c r="H425" s="48"/>
      <c r="I425" s="48"/>
    </row>
    <row r="426" ht="16.5" customHeight="1">
      <c r="B426" s="24"/>
      <c r="C426" s="24"/>
      <c r="D426" s="24"/>
      <c r="E426" s="24"/>
      <c r="F426" s="24"/>
      <c r="G426" s="24"/>
      <c r="H426" s="48"/>
      <c r="I426" s="48"/>
    </row>
    <row r="427" ht="16.5" customHeight="1">
      <c r="B427" s="24"/>
      <c r="C427" s="24"/>
      <c r="D427" s="24"/>
      <c r="E427" s="24"/>
      <c r="F427" s="24"/>
      <c r="G427" s="24"/>
      <c r="H427" s="48"/>
      <c r="I427" s="48"/>
    </row>
    <row r="428" ht="16.5" customHeight="1">
      <c r="B428" s="24"/>
      <c r="C428" s="24"/>
      <c r="D428" s="24"/>
      <c r="E428" s="24"/>
      <c r="F428" s="24"/>
      <c r="G428" s="24"/>
      <c r="H428" s="48"/>
      <c r="I428" s="48"/>
    </row>
    <row r="429" ht="16.5" customHeight="1">
      <c r="B429" s="24"/>
      <c r="C429" s="24"/>
      <c r="D429" s="24"/>
      <c r="E429" s="24"/>
      <c r="F429" s="24"/>
      <c r="G429" s="24"/>
      <c r="H429" s="48"/>
      <c r="I429" s="48"/>
    </row>
    <row r="430" ht="16.5" customHeight="1">
      <c r="B430" s="24"/>
      <c r="C430" s="24"/>
      <c r="D430" s="24"/>
      <c r="E430" s="24"/>
      <c r="F430" s="24"/>
      <c r="G430" s="24"/>
      <c r="H430" s="48"/>
      <c r="I430" s="48"/>
    </row>
    <row r="431" ht="16.5" customHeight="1">
      <c r="B431" s="24"/>
      <c r="C431" s="24"/>
      <c r="D431" s="24"/>
      <c r="E431" s="24"/>
      <c r="F431" s="24"/>
      <c r="G431" s="24"/>
      <c r="H431" s="48"/>
      <c r="I431" s="48"/>
    </row>
    <row r="432" ht="16.5" customHeight="1">
      <c r="B432" s="24"/>
      <c r="C432" s="24"/>
      <c r="D432" s="24"/>
      <c r="E432" s="24"/>
      <c r="F432" s="24"/>
      <c r="G432" s="24"/>
      <c r="H432" s="48"/>
      <c r="I432" s="48"/>
    </row>
    <row r="433" ht="16.5" customHeight="1">
      <c r="B433" s="24"/>
      <c r="C433" s="24"/>
      <c r="D433" s="24"/>
      <c r="E433" s="24"/>
      <c r="F433" s="24"/>
      <c r="G433" s="24"/>
      <c r="H433" s="48"/>
      <c r="I433" s="48"/>
    </row>
    <row r="434" ht="16.5" customHeight="1">
      <c r="B434" s="24"/>
      <c r="C434" s="24"/>
      <c r="D434" s="24"/>
      <c r="E434" s="24"/>
      <c r="F434" s="24"/>
      <c r="G434" s="24"/>
      <c r="H434" s="48"/>
      <c r="I434" s="48"/>
    </row>
    <row r="435" ht="16.5" customHeight="1">
      <c r="B435" s="24"/>
      <c r="C435" s="24"/>
      <c r="D435" s="24"/>
      <c r="E435" s="24"/>
      <c r="F435" s="24"/>
      <c r="G435" s="24"/>
      <c r="H435" s="48"/>
      <c r="I435" s="48"/>
    </row>
    <row r="436" ht="16.5" customHeight="1">
      <c r="B436" s="24"/>
      <c r="C436" s="24"/>
      <c r="D436" s="24"/>
      <c r="E436" s="24"/>
      <c r="F436" s="24"/>
      <c r="G436" s="24"/>
      <c r="H436" s="48"/>
      <c r="I436" s="48"/>
    </row>
    <row r="437" ht="16.5" customHeight="1">
      <c r="B437" s="24"/>
      <c r="C437" s="24"/>
      <c r="D437" s="24"/>
      <c r="E437" s="24"/>
      <c r="F437" s="24"/>
      <c r="G437" s="24"/>
      <c r="H437" s="48"/>
      <c r="I437" s="48"/>
    </row>
    <row r="438" ht="16.5" customHeight="1">
      <c r="B438" s="24"/>
      <c r="C438" s="24"/>
      <c r="D438" s="24"/>
      <c r="E438" s="24"/>
      <c r="F438" s="24"/>
      <c r="G438" s="24"/>
      <c r="H438" s="48"/>
      <c r="I438" s="48"/>
    </row>
    <row r="439" ht="16.5" customHeight="1">
      <c r="B439" s="24"/>
      <c r="C439" s="24"/>
      <c r="D439" s="24"/>
      <c r="E439" s="24"/>
      <c r="F439" s="24"/>
      <c r="G439" s="24"/>
      <c r="H439" s="48"/>
      <c r="I439" s="48"/>
    </row>
    <row r="440" ht="16.5" customHeight="1">
      <c r="B440" s="24"/>
      <c r="C440" s="24"/>
      <c r="D440" s="24"/>
      <c r="E440" s="24"/>
      <c r="F440" s="24"/>
      <c r="G440" s="24"/>
      <c r="H440" s="48"/>
      <c r="I440" s="48"/>
    </row>
    <row r="441" ht="16.5" customHeight="1">
      <c r="B441" s="24"/>
      <c r="C441" s="24"/>
      <c r="D441" s="24"/>
      <c r="E441" s="24"/>
      <c r="F441" s="24"/>
      <c r="G441" s="24"/>
      <c r="H441" s="48"/>
      <c r="I441" s="48"/>
    </row>
    <row r="442" ht="16.5" customHeight="1">
      <c r="B442" s="24"/>
      <c r="C442" s="24"/>
      <c r="D442" s="24"/>
      <c r="E442" s="24"/>
      <c r="F442" s="24"/>
      <c r="G442" s="24"/>
      <c r="H442" s="48"/>
      <c r="I442" s="48"/>
    </row>
    <row r="443" ht="16.5" customHeight="1">
      <c r="B443" s="24"/>
      <c r="C443" s="24"/>
      <c r="D443" s="24"/>
      <c r="E443" s="24"/>
      <c r="F443" s="24"/>
      <c r="G443" s="24"/>
      <c r="H443" s="48"/>
      <c r="I443" s="48"/>
    </row>
    <row r="444" ht="16.5" customHeight="1">
      <c r="B444" s="24"/>
      <c r="C444" s="24"/>
      <c r="D444" s="24"/>
      <c r="E444" s="24"/>
      <c r="F444" s="24"/>
      <c r="G444" s="24"/>
      <c r="H444" s="48"/>
      <c r="I444" s="48"/>
    </row>
    <row r="445" ht="16.5" customHeight="1">
      <c r="B445" s="24"/>
      <c r="C445" s="24"/>
      <c r="D445" s="24"/>
      <c r="E445" s="24"/>
      <c r="F445" s="24"/>
      <c r="G445" s="24"/>
      <c r="H445" s="48"/>
      <c r="I445" s="48"/>
    </row>
    <row r="446" ht="16.5" customHeight="1">
      <c r="B446" s="24"/>
      <c r="C446" s="24"/>
      <c r="D446" s="24"/>
      <c r="E446" s="24"/>
      <c r="F446" s="24"/>
      <c r="G446" s="24"/>
      <c r="H446" s="48"/>
      <c r="I446" s="48"/>
    </row>
    <row r="447" ht="16.5" customHeight="1">
      <c r="B447" s="24"/>
      <c r="C447" s="24"/>
      <c r="D447" s="24"/>
      <c r="E447" s="24"/>
      <c r="F447" s="24"/>
      <c r="G447" s="24"/>
      <c r="H447" s="48"/>
      <c r="I447" s="48"/>
    </row>
    <row r="448" ht="16.5" customHeight="1">
      <c r="B448" s="24"/>
      <c r="C448" s="24"/>
      <c r="D448" s="24"/>
      <c r="E448" s="24"/>
      <c r="F448" s="24"/>
      <c r="G448" s="24"/>
      <c r="H448" s="48"/>
      <c r="I448" s="48"/>
    </row>
    <row r="449" ht="16.5" customHeight="1">
      <c r="B449" s="24"/>
      <c r="C449" s="24"/>
      <c r="D449" s="24"/>
      <c r="E449" s="24"/>
      <c r="F449" s="24"/>
      <c r="G449" s="24"/>
      <c r="H449" s="48"/>
      <c r="I449" s="48"/>
    </row>
    <row r="450" ht="16.5" customHeight="1">
      <c r="B450" s="24"/>
      <c r="C450" s="24"/>
      <c r="D450" s="24"/>
      <c r="E450" s="24"/>
      <c r="F450" s="24"/>
      <c r="G450" s="24"/>
      <c r="H450" s="48"/>
      <c r="I450" s="48"/>
    </row>
    <row r="451" ht="16.5" customHeight="1">
      <c r="B451" s="24"/>
      <c r="C451" s="24"/>
      <c r="D451" s="24"/>
      <c r="E451" s="24"/>
      <c r="F451" s="24"/>
      <c r="G451" s="24"/>
      <c r="H451" s="48"/>
      <c r="I451" s="48"/>
    </row>
    <row r="452" ht="16.5" customHeight="1">
      <c r="B452" s="24"/>
      <c r="C452" s="24"/>
      <c r="D452" s="24"/>
      <c r="E452" s="24"/>
      <c r="F452" s="24"/>
      <c r="G452" s="24"/>
      <c r="H452" s="48"/>
      <c r="I452" s="48"/>
    </row>
    <row r="453" ht="16.5" customHeight="1">
      <c r="B453" s="24"/>
      <c r="C453" s="24"/>
      <c r="D453" s="24"/>
      <c r="E453" s="24"/>
      <c r="F453" s="24"/>
      <c r="G453" s="24"/>
      <c r="H453" s="48"/>
      <c r="I453" s="48"/>
    </row>
    <row r="454" ht="16.5" customHeight="1">
      <c r="B454" s="24"/>
      <c r="C454" s="24"/>
      <c r="D454" s="24"/>
      <c r="E454" s="24"/>
      <c r="F454" s="24"/>
      <c r="G454" s="24"/>
      <c r="H454" s="48"/>
      <c r="I454" s="48"/>
    </row>
    <row r="455" ht="16.5" customHeight="1">
      <c r="B455" s="24"/>
      <c r="C455" s="24"/>
      <c r="D455" s="24"/>
      <c r="E455" s="24"/>
      <c r="F455" s="24"/>
      <c r="G455" s="24"/>
      <c r="H455" s="48"/>
      <c r="I455" s="48"/>
    </row>
    <row r="456" ht="16.5" customHeight="1">
      <c r="B456" s="24"/>
      <c r="C456" s="24"/>
      <c r="D456" s="24"/>
      <c r="E456" s="24"/>
      <c r="F456" s="24"/>
      <c r="G456" s="24"/>
      <c r="H456" s="48"/>
      <c r="I456" s="48"/>
    </row>
    <row r="457" ht="16.5" customHeight="1">
      <c r="B457" s="24"/>
      <c r="C457" s="24"/>
      <c r="D457" s="24"/>
      <c r="E457" s="24"/>
      <c r="F457" s="24"/>
      <c r="G457" s="24"/>
      <c r="H457" s="48"/>
      <c r="I457" s="48"/>
    </row>
    <row r="458" ht="16.5" customHeight="1">
      <c r="B458" s="24"/>
      <c r="C458" s="24"/>
      <c r="D458" s="24"/>
      <c r="E458" s="24"/>
      <c r="F458" s="24"/>
      <c r="G458" s="24"/>
      <c r="H458" s="48"/>
      <c r="I458" s="48"/>
    </row>
    <row r="459" ht="16.5" customHeight="1">
      <c r="B459" s="24"/>
      <c r="C459" s="24"/>
      <c r="D459" s="24"/>
      <c r="E459" s="24"/>
      <c r="F459" s="24"/>
      <c r="G459" s="24"/>
      <c r="H459" s="48"/>
      <c r="I459" s="48"/>
    </row>
    <row r="460" ht="16.5" customHeight="1">
      <c r="B460" s="24"/>
      <c r="C460" s="24"/>
      <c r="D460" s="24"/>
      <c r="E460" s="24"/>
      <c r="F460" s="24"/>
      <c r="G460" s="24"/>
      <c r="H460" s="48"/>
      <c r="I460" s="48"/>
    </row>
    <row r="461" ht="16.5" customHeight="1">
      <c r="B461" s="24"/>
      <c r="C461" s="24"/>
      <c r="D461" s="24"/>
      <c r="E461" s="24"/>
      <c r="F461" s="24"/>
      <c r="G461" s="24"/>
      <c r="H461" s="48"/>
      <c r="I461" s="48"/>
    </row>
    <row r="462" ht="16.5" customHeight="1">
      <c r="B462" s="24"/>
      <c r="C462" s="24"/>
      <c r="D462" s="24"/>
      <c r="E462" s="24"/>
      <c r="F462" s="24"/>
      <c r="G462" s="24"/>
      <c r="H462" s="48"/>
      <c r="I462" s="48"/>
    </row>
    <row r="463" ht="16.5" customHeight="1">
      <c r="B463" s="24"/>
      <c r="C463" s="24"/>
      <c r="D463" s="24"/>
      <c r="E463" s="24"/>
      <c r="F463" s="24"/>
      <c r="G463" s="24"/>
      <c r="H463" s="48"/>
      <c r="I463" s="48"/>
    </row>
    <row r="464" ht="16.5" customHeight="1">
      <c r="B464" s="24"/>
      <c r="C464" s="24"/>
      <c r="D464" s="24"/>
      <c r="E464" s="24"/>
      <c r="F464" s="24"/>
      <c r="G464" s="24"/>
      <c r="H464" s="48"/>
      <c r="I464" s="48"/>
    </row>
    <row r="465" ht="16.5" customHeight="1">
      <c r="B465" s="24"/>
      <c r="C465" s="24"/>
      <c r="D465" s="24"/>
      <c r="E465" s="24"/>
      <c r="F465" s="24"/>
      <c r="G465" s="24"/>
      <c r="H465" s="48"/>
      <c r="I465" s="48"/>
    </row>
    <row r="466" ht="16.5" customHeight="1">
      <c r="B466" s="24"/>
      <c r="C466" s="24"/>
      <c r="D466" s="24"/>
      <c r="E466" s="24"/>
      <c r="F466" s="24"/>
      <c r="G466" s="24"/>
      <c r="H466" s="48"/>
      <c r="I466" s="48"/>
    </row>
    <row r="467" ht="16.5" customHeight="1">
      <c r="B467" s="24"/>
      <c r="C467" s="24"/>
      <c r="D467" s="24"/>
      <c r="E467" s="24"/>
      <c r="F467" s="24"/>
      <c r="G467" s="24"/>
      <c r="H467" s="48"/>
      <c r="I467" s="48"/>
    </row>
    <row r="468" ht="16.5" customHeight="1">
      <c r="B468" s="24"/>
      <c r="C468" s="24"/>
      <c r="D468" s="24"/>
      <c r="E468" s="24"/>
      <c r="F468" s="24"/>
      <c r="G468" s="24"/>
      <c r="H468" s="48"/>
      <c r="I468" s="48"/>
    </row>
    <row r="469" ht="16.5" customHeight="1">
      <c r="B469" s="24"/>
      <c r="C469" s="24"/>
      <c r="D469" s="24"/>
      <c r="E469" s="24"/>
      <c r="F469" s="24"/>
      <c r="G469" s="24"/>
      <c r="H469" s="48"/>
      <c r="I469" s="48"/>
    </row>
    <row r="470" ht="16.5" customHeight="1">
      <c r="B470" s="24"/>
      <c r="C470" s="24"/>
      <c r="D470" s="24"/>
      <c r="E470" s="24"/>
      <c r="F470" s="24"/>
      <c r="G470" s="24"/>
      <c r="H470" s="48"/>
      <c r="I470" s="48"/>
    </row>
    <row r="471" ht="16.5" customHeight="1">
      <c r="B471" s="24"/>
      <c r="C471" s="24"/>
      <c r="D471" s="24"/>
      <c r="E471" s="24"/>
      <c r="F471" s="24"/>
      <c r="G471" s="24"/>
      <c r="H471" s="48"/>
      <c r="I471" s="48"/>
    </row>
    <row r="472" ht="16.5" customHeight="1">
      <c r="B472" s="24"/>
      <c r="C472" s="24"/>
      <c r="D472" s="24"/>
      <c r="E472" s="24"/>
      <c r="F472" s="24"/>
      <c r="G472" s="24"/>
      <c r="H472" s="48"/>
      <c r="I472" s="48"/>
    </row>
    <row r="473" ht="16.5" customHeight="1">
      <c r="B473" s="24"/>
      <c r="C473" s="24"/>
      <c r="D473" s="24"/>
      <c r="E473" s="24"/>
      <c r="F473" s="24"/>
      <c r="G473" s="24"/>
      <c r="H473" s="48"/>
      <c r="I473" s="48"/>
    </row>
    <row r="474" ht="16.5" customHeight="1">
      <c r="B474" s="24"/>
      <c r="C474" s="24"/>
      <c r="D474" s="24"/>
      <c r="E474" s="24"/>
      <c r="F474" s="24"/>
      <c r="G474" s="24"/>
      <c r="H474" s="48"/>
      <c r="I474" s="48"/>
    </row>
    <row r="475" ht="16.5" customHeight="1">
      <c r="B475" s="24"/>
      <c r="C475" s="24"/>
      <c r="D475" s="24"/>
      <c r="E475" s="24"/>
      <c r="F475" s="24"/>
      <c r="G475" s="24"/>
      <c r="H475" s="48"/>
      <c r="I475" s="48"/>
    </row>
    <row r="476" ht="16.5" customHeight="1">
      <c r="B476" s="24"/>
      <c r="C476" s="24"/>
      <c r="D476" s="24"/>
      <c r="E476" s="24"/>
      <c r="F476" s="24"/>
      <c r="G476" s="24"/>
      <c r="H476" s="48"/>
      <c r="I476" s="48"/>
    </row>
    <row r="477" ht="16.5" customHeight="1">
      <c r="B477" s="24"/>
      <c r="C477" s="24"/>
      <c r="D477" s="24"/>
      <c r="E477" s="24"/>
      <c r="F477" s="24"/>
      <c r="G477" s="24"/>
      <c r="H477" s="48"/>
      <c r="I477" s="48"/>
    </row>
    <row r="478" ht="16.5" customHeight="1">
      <c r="B478" s="24"/>
      <c r="C478" s="24"/>
      <c r="D478" s="24"/>
      <c r="E478" s="24"/>
      <c r="F478" s="24"/>
      <c r="G478" s="24"/>
      <c r="H478" s="48"/>
      <c r="I478" s="48"/>
    </row>
    <row r="479" ht="16.5" customHeight="1">
      <c r="B479" s="24"/>
      <c r="C479" s="24"/>
      <c r="D479" s="24"/>
      <c r="E479" s="24"/>
      <c r="F479" s="24"/>
      <c r="G479" s="24"/>
      <c r="H479" s="48"/>
      <c r="I479" s="48"/>
    </row>
    <row r="480" ht="16.5" customHeight="1">
      <c r="B480" s="24"/>
      <c r="C480" s="24"/>
      <c r="D480" s="24"/>
      <c r="E480" s="24"/>
      <c r="F480" s="24"/>
      <c r="G480" s="24"/>
      <c r="H480" s="48"/>
      <c r="I480" s="48"/>
    </row>
    <row r="481" ht="16.5" customHeight="1">
      <c r="B481" s="24"/>
      <c r="C481" s="24"/>
      <c r="D481" s="24"/>
      <c r="E481" s="24"/>
      <c r="F481" s="24"/>
      <c r="G481" s="24"/>
      <c r="H481" s="48"/>
      <c r="I481" s="48"/>
    </row>
    <row r="482" ht="16.5" customHeight="1">
      <c r="B482" s="24"/>
      <c r="C482" s="24"/>
      <c r="D482" s="24"/>
      <c r="E482" s="24"/>
      <c r="F482" s="24"/>
      <c r="G482" s="24"/>
      <c r="H482" s="48"/>
      <c r="I482" s="48"/>
    </row>
    <row r="483" ht="16.5" customHeight="1">
      <c r="B483" s="24"/>
      <c r="C483" s="24"/>
      <c r="D483" s="24"/>
      <c r="E483" s="24"/>
      <c r="F483" s="24"/>
      <c r="G483" s="24"/>
      <c r="H483" s="48"/>
      <c r="I483" s="48"/>
    </row>
    <row r="484" ht="16.5" customHeight="1">
      <c r="B484" s="24"/>
      <c r="C484" s="24"/>
      <c r="D484" s="24"/>
      <c r="E484" s="24"/>
      <c r="F484" s="24"/>
      <c r="G484" s="24"/>
      <c r="H484" s="48"/>
      <c r="I484" s="48"/>
    </row>
    <row r="485" ht="16.5" customHeight="1">
      <c r="B485" s="24"/>
      <c r="C485" s="24"/>
      <c r="D485" s="24"/>
      <c r="E485" s="24"/>
      <c r="F485" s="24"/>
      <c r="G485" s="24"/>
      <c r="H485" s="48"/>
      <c r="I485" s="48"/>
    </row>
    <row r="486" ht="16.5" customHeight="1">
      <c r="B486" s="24"/>
      <c r="C486" s="24"/>
      <c r="D486" s="24"/>
      <c r="E486" s="24"/>
      <c r="F486" s="24"/>
      <c r="G486" s="24"/>
      <c r="H486" s="48"/>
      <c r="I486" s="48"/>
    </row>
    <row r="487" ht="16.5" customHeight="1">
      <c r="B487" s="24"/>
      <c r="C487" s="24"/>
      <c r="D487" s="24"/>
      <c r="E487" s="24"/>
      <c r="F487" s="24"/>
      <c r="G487" s="24"/>
      <c r="H487" s="48"/>
      <c r="I487" s="48"/>
    </row>
    <row r="488" ht="16.5" customHeight="1">
      <c r="B488" s="24"/>
      <c r="C488" s="24"/>
      <c r="D488" s="24"/>
      <c r="E488" s="24"/>
      <c r="F488" s="24"/>
      <c r="G488" s="24"/>
      <c r="H488" s="48"/>
      <c r="I488" s="48"/>
    </row>
    <row r="489" ht="16.5" customHeight="1">
      <c r="B489" s="24"/>
      <c r="C489" s="24"/>
      <c r="D489" s="24"/>
      <c r="E489" s="24"/>
      <c r="F489" s="24"/>
      <c r="G489" s="24"/>
      <c r="H489" s="48"/>
      <c r="I489" s="48"/>
    </row>
    <row r="490" ht="16.5" customHeight="1">
      <c r="B490" s="24"/>
      <c r="C490" s="24"/>
      <c r="D490" s="24"/>
      <c r="E490" s="24"/>
      <c r="F490" s="24"/>
      <c r="G490" s="24"/>
      <c r="H490" s="48"/>
      <c r="I490" s="48"/>
    </row>
    <row r="491" ht="16.5" customHeight="1">
      <c r="B491" s="24"/>
      <c r="C491" s="24"/>
      <c r="D491" s="24"/>
      <c r="E491" s="24"/>
      <c r="F491" s="24"/>
      <c r="G491" s="24"/>
      <c r="H491" s="48"/>
      <c r="I491" s="48"/>
    </row>
    <row r="492" ht="16.5" customHeight="1">
      <c r="B492" s="24"/>
      <c r="C492" s="24"/>
      <c r="D492" s="24"/>
      <c r="E492" s="24"/>
      <c r="F492" s="24"/>
      <c r="G492" s="24"/>
      <c r="H492" s="48"/>
      <c r="I492" s="48"/>
    </row>
    <row r="493" ht="16.5" customHeight="1">
      <c r="B493" s="24"/>
      <c r="C493" s="24"/>
      <c r="D493" s="24"/>
      <c r="E493" s="24"/>
      <c r="F493" s="24"/>
      <c r="G493" s="24"/>
      <c r="H493" s="48"/>
      <c r="I493" s="48"/>
    </row>
    <row r="494" ht="16.5" customHeight="1">
      <c r="B494" s="24"/>
      <c r="C494" s="24"/>
      <c r="D494" s="24"/>
      <c r="E494" s="24"/>
      <c r="F494" s="24"/>
      <c r="G494" s="24"/>
      <c r="H494" s="48"/>
      <c r="I494" s="48"/>
    </row>
    <row r="495" ht="16.5" customHeight="1">
      <c r="B495" s="24"/>
      <c r="C495" s="24"/>
      <c r="D495" s="24"/>
      <c r="E495" s="24"/>
      <c r="F495" s="24"/>
      <c r="G495" s="24"/>
      <c r="H495" s="48"/>
      <c r="I495" s="48"/>
    </row>
    <row r="496" ht="16.5" customHeight="1">
      <c r="B496" s="24"/>
      <c r="C496" s="24"/>
      <c r="D496" s="24"/>
      <c r="E496" s="24"/>
      <c r="F496" s="24"/>
      <c r="G496" s="24"/>
      <c r="H496" s="48"/>
      <c r="I496" s="48"/>
    </row>
    <row r="497" ht="16.5" customHeight="1">
      <c r="B497" s="24"/>
      <c r="C497" s="24"/>
      <c r="D497" s="24"/>
      <c r="E497" s="24"/>
      <c r="F497" s="24"/>
      <c r="G497" s="24"/>
      <c r="H497" s="48"/>
      <c r="I497" s="48"/>
    </row>
    <row r="498" ht="16.5" customHeight="1">
      <c r="B498" s="24"/>
      <c r="C498" s="24"/>
      <c r="D498" s="24"/>
      <c r="E498" s="24"/>
      <c r="F498" s="24"/>
      <c r="G498" s="24"/>
      <c r="H498" s="48"/>
      <c r="I498" s="48"/>
    </row>
    <row r="499" ht="16.5" customHeight="1">
      <c r="B499" s="24"/>
      <c r="C499" s="24"/>
      <c r="D499" s="24"/>
      <c r="E499" s="24"/>
      <c r="F499" s="24"/>
      <c r="G499" s="24"/>
      <c r="H499" s="48"/>
      <c r="I499" s="48"/>
    </row>
    <row r="500" ht="16.5" customHeight="1">
      <c r="B500" s="24"/>
      <c r="C500" s="24"/>
      <c r="D500" s="24"/>
      <c r="E500" s="24"/>
      <c r="F500" s="24"/>
      <c r="G500" s="24"/>
      <c r="H500" s="48"/>
      <c r="I500" s="48"/>
    </row>
    <row r="501" ht="16.5" customHeight="1">
      <c r="B501" s="24"/>
      <c r="C501" s="24"/>
      <c r="D501" s="24"/>
      <c r="E501" s="24"/>
      <c r="F501" s="24"/>
      <c r="G501" s="24"/>
      <c r="H501" s="48"/>
      <c r="I501" s="48"/>
    </row>
    <row r="502" ht="16.5" customHeight="1">
      <c r="B502" s="24"/>
      <c r="C502" s="24"/>
      <c r="D502" s="24"/>
      <c r="E502" s="24"/>
      <c r="F502" s="24"/>
      <c r="G502" s="24"/>
      <c r="H502" s="48"/>
      <c r="I502" s="48"/>
    </row>
    <row r="503" ht="16.5" customHeight="1">
      <c r="B503" s="24"/>
      <c r="C503" s="24"/>
      <c r="D503" s="24"/>
      <c r="E503" s="24"/>
      <c r="F503" s="24"/>
      <c r="G503" s="24"/>
      <c r="H503" s="48"/>
      <c r="I503" s="48"/>
    </row>
    <row r="504" ht="16.5" customHeight="1">
      <c r="B504" s="24"/>
      <c r="C504" s="24"/>
      <c r="D504" s="24"/>
      <c r="E504" s="24"/>
      <c r="F504" s="24"/>
      <c r="G504" s="24"/>
      <c r="H504" s="48"/>
      <c r="I504" s="48"/>
    </row>
    <row r="505" ht="16.5" customHeight="1">
      <c r="B505" s="24"/>
      <c r="C505" s="24"/>
      <c r="D505" s="24"/>
      <c r="E505" s="24"/>
      <c r="F505" s="24"/>
      <c r="G505" s="24"/>
      <c r="H505" s="48"/>
      <c r="I505" s="48"/>
    </row>
    <row r="506" ht="16.5" customHeight="1">
      <c r="B506" s="24"/>
      <c r="C506" s="24"/>
      <c r="D506" s="24"/>
      <c r="E506" s="24"/>
      <c r="F506" s="24"/>
      <c r="G506" s="24"/>
      <c r="H506" s="48"/>
      <c r="I506" s="48"/>
    </row>
    <row r="507" ht="16.5" customHeight="1">
      <c r="B507" s="24"/>
      <c r="C507" s="24"/>
      <c r="D507" s="24"/>
      <c r="E507" s="24"/>
      <c r="F507" s="24"/>
      <c r="G507" s="24"/>
      <c r="H507" s="48"/>
      <c r="I507" s="48"/>
    </row>
    <row r="508" ht="16.5" customHeight="1">
      <c r="B508" s="24"/>
      <c r="C508" s="24"/>
      <c r="D508" s="24"/>
      <c r="E508" s="24"/>
      <c r="F508" s="24"/>
      <c r="G508" s="24"/>
      <c r="H508" s="48"/>
      <c r="I508" s="48"/>
    </row>
    <row r="509" ht="16.5" customHeight="1">
      <c r="B509" s="24"/>
      <c r="C509" s="24"/>
      <c r="D509" s="24"/>
      <c r="E509" s="24"/>
      <c r="F509" s="24"/>
      <c r="G509" s="24"/>
      <c r="H509" s="48"/>
      <c r="I509" s="48"/>
    </row>
    <row r="510" ht="16.5" customHeight="1">
      <c r="B510" s="24"/>
      <c r="C510" s="24"/>
      <c r="D510" s="24"/>
      <c r="E510" s="24"/>
      <c r="F510" s="24"/>
      <c r="G510" s="24"/>
      <c r="H510" s="48"/>
      <c r="I510" s="48"/>
    </row>
    <row r="511" ht="16.5" customHeight="1">
      <c r="B511" s="24"/>
      <c r="C511" s="24"/>
      <c r="D511" s="24"/>
      <c r="E511" s="24"/>
      <c r="F511" s="24"/>
      <c r="G511" s="24"/>
      <c r="H511" s="48"/>
      <c r="I511" s="48"/>
    </row>
    <row r="512" ht="16.5" customHeight="1">
      <c r="B512" s="24"/>
      <c r="C512" s="24"/>
      <c r="D512" s="24"/>
      <c r="E512" s="24"/>
      <c r="F512" s="24"/>
      <c r="G512" s="24"/>
      <c r="H512" s="48"/>
      <c r="I512" s="48"/>
    </row>
    <row r="513" ht="16.5" customHeight="1">
      <c r="B513" s="24"/>
      <c r="C513" s="24"/>
      <c r="D513" s="24"/>
      <c r="E513" s="24"/>
      <c r="F513" s="24"/>
      <c r="G513" s="24"/>
      <c r="H513" s="48"/>
      <c r="I513" s="48"/>
    </row>
    <row r="514" ht="16.5" customHeight="1">
      <c r="B514" s="24"/>
      <c r="C514" s="24"/>
      <c r="D514" s="24"/>
      <c r="E514" s="24"/>
      <c r="F514" s="24"/>
      <c r="G514" s="24"/>
      <c r="H514" s="48"/>
      <c r="I514" s="48"/>
    </row>
    <row r="515" ht="16.5" customHeight="1">
      <c r="B515" s="24"/>
      <c r="C515" s="24"/>
      <c r="D515" s="24"/>
      <c r="E515" s="24"/>
      <c r="F515" s="24"/>
      <c r="G515" s="24"/>
      <c r="H515" s="48"/>
      <c r="I515" s="48"/>
    </row>
    <row r="516" ht="16.5" customHeight="1">
      <c r="B516" s="24"/>
      <c r="C516" s="24"/>
      <c r="D516" s="24"/>
      <c r="E516" s="24"/>
      <c r="F516" s="24"/>
      <c r="G516" s="24"/>
      <c r="H516" s="48"/>
      <c r="I516" s="48"/>
    </row>
    <row r="517" ht="16.5" customHeight="1">
      <c r="B517" s="24"/>
      <c r="C517" s="24"/>
      <c r="D517" s="24"/>
      <c r="E517" s="24"/>
      <c r="F517" s="24"/>
      <c r="G517" s="24"/>
      <c r="H517" s="48"/>
      <c r="I517" s="48"/>
    </row>
    <row r="518" ht="16.5" customHeight="1">
      <c r="B518" s="24"/>
      <c r="C518" s="24"/>
      <c r="D518" s="24"/>
      <c r="E518" s="24"/>
      <c r="F518" s="24"/>
      <c r="G518" s="24"/>
      <c r="H518" s="48"/>
      <c r="I518" s="48"/>
    </row>
    <row r="519" ht="16.5" customHeight="1">
      <c r="B519" s="24"/>
      <c r="C519" s="24"/>
      <c r="D519" s="24"/>
      <c r="E519" s="24"/>
      <c r="F519" s="24"/>
      <c r="G519" s="24"/>
      <c r="H519" s="48"/>
      <c r="I519" s="48"/>
    </row>
    <row r="520" ht="16.5" customHeight="1">
      <c r="B520" s="24"/>
      <c r="C520" s="24"/>
      <c r="D520" s="24"/>
      <c r="E520" s="24"/>
      <c r="F520" s="24"/>
      <c r="G520" s="24"/>
      <c r="H520" s="48"/>
      <c r="I520" s="48"/>
    </row>
    <row r="521" ht="16.5" customHeight="1">
      <c r="B521" s="24"/>
      <c r="C521" s="24"/>
      <c r="D521" s="24"/>
      <c r="E521" s="24"/>
      <c r="F521" s="24"/>
      <c r="G521" s="24"/>
      <c r="H521" s="48"/>
      <c r="I521" s="48"/>
    </row>
    <row r="522" ht="16.5" customHeight="1">
      <c r="B522" s="24"/>
      <c r="C522" s="24"/>
      <c r="D522" s="24"/>
      <c r="E522" s="24"/>
      <c r="F522" s="24"/>
      <c r="G522" s="24"/>
      <c r="H522" s="48"/>
      <c r="I522" s="48"/>
    </row>
    <row r="523" ht="16.5" customHeight="1">
      <c r="B523" s="24"/>
      <c r="C523" s="24"/>
      <c r="D523" s="24"/>
      <c r="E523" s="24"/>
      <c r="F523" s="24"/>
      <c r="G523" s="24"/>
      <c r="H523" s="48"/>
      <c r="I523" s="48"/>
    </row>
    <row r="524" ht="16.5" customHeight="1">
      <c r="B524" s="24"/>
      <c r="C524" s="24"/>
      <c r="D524" s="24"/>
      <c r="E524" s="24"/>
      <c r="F524" s="24"/>
      <c r="G524" s="24"/>
      <c r="H524" s="48"/>
      <c r="I524" s="48"/>
    </row>
    <row r="525" ht="16.5" customHeight="1">
      <c r="B525" s="24"/>
      <c r="C525" s="24"/>
      <c r="D525" s="24"/>
      <c r="E525" s="24"/>
      <c r="F525" s="24"/>
      <c r="G525" s="24"/>
      <c r="H525" s="48"/>
      <c r="I525" s="48"/>
    </row>
    <row r="526" ht="16.5" customHeight="1">
      <c r="B526" s="24"/>
      <c r="C526" s="24"/>
      <c r="D526" s="24"/>
      <c r="E526" s="24"/>
      <c r="F526" s="24"/>
      <c r="G526" s="24"/>
      <c r="H526" s="48"/>
      <c r="I526" s="48"/>
    </row>
    <row r="527" ht="16.5" customHeight="1">
      <c r="B527" s="24"/>
      <c r="C527" s="24"/>
      <c r="D527" s="24"/>
      <c r="E527" s="24"/>
      <c r="F527" s="24"/>
      <c r="G527" s="24"/>
      <c r="H527" s="48"/>
      <c r="I527" s="48"/>
    </row>
    <row r="528" ht="16.5" customHeight="1">
      <c r="B528" s="24"/>
      <c r="C528" s="24"/>
      <c r="D528" s="24"/>
      <c r="E528" s="24"/>
      <c r="F528" s="24"/>
      <c r="G528" s="24"/>
      <c r="H528" s="48"/>
      <c r="I528" s="48"/>
    </row>
    <row r="529" ht="16.5" customHeight="1">
      <c r="B529" s="24"/>
      <c r="C529" s="24"/>
      <c r="D529" s="24"/>
      <c r="E529" s="24"/>
      <c r="F529" s="24"/>
      <c r="G529" s="24"/>
      <c r="H529" s="48"/>
      <c r="I529" s="48"/>
    </row>
    <row r="530" ht="16.5" customHeight="1">
      <c r="B530" s="24"/>
      <c r="C530" s="24"/>
      <c r="D530" s="24"/>
      <c r="E530" s="24"/>
      <c r="F530" s="24"/>
      <c r="G530" s="24"/>
      <c r="H530" s="48"/>
      <c r="I530" s="48"/>
    </row>
    <row r="531" ht="16.5" customHeight="1">
      <c r="B531" s="24"/>
      <c r="C531" s="24"/>
      <c r="D531" s="24"/>
      <c r="E531" s="24"/>
      <c r="F531" s="24"/>
      <c r="G531" s="24"/>
      <c r="H531" s="48"/>
      <c r="I531" s="48"/>
    </row>
    <row r="532" ht="16.5" customHeight="1">
      <c r="B532" s="24"/>
      <c r="C532" s="24"/>
      <c r="D532" s="24"/>
      <c r="E532" s="24"/>
      <c r="F532" s="24"/>
      <c r="G532" s="24"/>
      <c r="H532" s="48"/>
      <c r="I532" s="48"/>
    </row>
    <row r="533" ht="16.5" customHeight="1">
      <c r="B533" s="24"/>
      <c r="C533" s="24"/>
      <c r="D533" s="24"/>
      <c r="E533" s="24"/>
      <c r="F533" s="24"/>
      <c r="G533" s="24"/>
      <c r="H533" s="48"/>
      <c r="I533" s="48"/>
    </row>
    <row r="534" ht="16.5" customHeight="1">
      <c r="B534" s="24"/>
      <c r="C534" s="24"/>
      <c r="D534" s="24"/>
      <c r="E534" s="24"/>
      <c r="F534" s="24"/>
      <c r="G534" s="24"/>
      <c r="H534" s="48"/>
      <c r="I534" s="48"/>
    </row>
    <row r="535" ht="16.5" customHeight="1">
      <c r="B535" s="24"/>
      <c r="C535" s="24"/>
      <c r="D535" s="24"/>
      <c r="E535" s="24"/>
      <c r="F535" s="24"/>
      <c r="G535" s="24"/>
      <c r="H535" s="48"/>
      <c r="I535" s="48"/>
    </row>
    <row r="536" ht="16.5" customHeight="1">
      <c r="B536" s="24"/>
      <c r="C536" s="24"/>
      <c r="D536" s="24"/>
      <c r="E536" s="24"/>
      <c r="F536" s="24"/>
      <c r="G536" s="24"/>
      <c r="H536" s="48"/>
      <c r="I536" s="48"/>
    </row>
    <row r="537" ht="16.5" customHeight="1">
      <c r="B537" s="24"/>
      <c r="C537" s="24"/>
      <c r="D537" s="24"/>
      <c r="E537" s="24"/>
      <c r="F537" s="24"/>
      <c r="G537" s="24"/>
      <c r="H537" s="48"/>
      <c r="I537" s="48"/>
    </row>
    <row r="538" ht="16.5" customHeight="1">
      <c r="B538" s="24"/>
      <c r="C538" s="24"/>
      <c r="D538" s="24"/>
      <c r="E538" s="24"/>
      <c r="F538" s="24"/>
      <c r="G538" s="24"/>
      <c r="H538" s="48"/>
      <c r="I538" s="48"/>
    </row>
    <row r="539" ht="16.5" customHeight="1">
      <c r="B539" s="24"/>
      <c r="C539" s="24"/>
      <c r="D539" s="24"/>
      <c r="E539" s="24"/>
      <c r="F539" s="24"/>
      <c r="G539" s="24"/>
      <c r="H539" s="48"/>
      <c r="I539" s="48"/>
    </row>
    <row r="540" ht="16.5" customHeight="1">
      <c r="B540" s="24"/>
      <c r="C540" s="24"/>
      <c r="D540" s="24"/>
      <c r="E540" s="24"/>
      <c r="F540" s="24"/>
      <c r="G540" s="24"/>
      <c r="H540" s="48"/>
      <c r="I540" s="48"/>
    </row>
    <row r="541" ht="16.5" customHeight="1">
      <c r="B541" s="24"/>
      <c r="C541" s="24"/>
      <c r="D541" s="24"/>
      <c r="E541" s="24"/>
      <c r="F541" s="24"/>
      <c r="G541" s="24"/>
      <c r="H541" s="48"/>
      <c r="I541" s="48"/>
    </row>
    <row r="542" ht="16.5" customHeight="1">
      <c r="B542" s="24"/>
      <c r="C542" s="24"/>
      <c r="D542" s="24"/>
      <c r="E542" s="24"/>
      <c r="F542" s="24"/>
      <c r="G542" s="24"/>
      <c r="H542" s="48"/>
      <c r="I542" s="48"/>
    </row>
    <row r="543" ht="16.5" customHeight="1">
      <c r="B543" s="24"/>
      <c r="C543" s="24"/>
      <c r="D543" s="24"/>
      <c r="E543" s="24"/>
      <c r="F543" s="24"/>
      <c r="G543" s="24"/>
      <c r="H543" s="48"/>
      <c r="I543" s="48"/>
    </row>
    <row r="544" ht="16.5" customHeight="1">
      <c r="B544" s="24"/>
      <c r="C544" s="24"/>
      <c r="D544" s="24"/>
      <c r="E544" s="24"/>
      <c r="F544" s="24"/>
      <c r="G544" s="24"/>
      <c r="H544" s="48"/>
      <c r="I544" s="48"/>
    </row>
    <row r="545" ht="16.5" customHeight="1">
      <c r="B545" s="24"/>
      <c r="C545" s="24"/>
      <c r="D545" s="24"/>
      <c r="E545" s="24"/>
      <c r="F545" s="24"/>
      <c r="G545" s="24"/>
      <c r="H545" s="48"/>
      <c r="I545" s="48"/>
    </row>
    <row r="546" ht="16.5" customHeight="1">
      <c r="B546" s="24"/>
      <c r="C546" s="24"/>
      <c r="D546" s="24"/>
      <c r="E546" s="24"/>
      <c r="F546" s="24"/>
      <c r="G546" s="24"/>
      <c r="H546" s="48"/>
      <c r="I546" s="48"/>
    </row>
    <row r="547" ht="16.5" customHeight="1">
      <c r="B547" s="24"/>
      <c r="C547" s="24"/>
      <c r="D547" s="24"/>
      <c r="E547" s="24"/>
      <c r="F547" s="24"/>
      <c r="G547" s="24"/>
      <c r="H547" s="48"/>
      <c r="I547" s="48"/>
    </row>
    <row r="548" ht="16.5" customHeight="1">
      <c r="B548" s="24"/>
      <c r="C548" s="24"/>
      <c r="D548" s="24"/>
      <c r="E548" s="24"/>
      <c r="F548" s="24"/>
      <c r="G548" s="24"/>
      <c r="H548" s="48"/>
      <c r="I548" s="48"/>
    </row>
    <row r="549" ht="16.5" customHeight="1">
      <c r="B549" s="24"/>
      <c r="C549" s="24"/>
      <c r="D549" s="24"/>
      <c r="E549" s="24"/>
      <c r="F549" s="24"/>
      <c r="G549" s="24"/>
      <c r="H549" s="48"/>
      <c r="I549" s="48"/>
    </row>
    <row r="550" ht="16.5" customHeight="1">
      <c r="B550" s="24"/>
      <c r="C550" s="24"/>
      <c r="D550" s="24"/>
      <c r="E550" s="24"/>
      <c r="F550" s="24"/>
      <c r="G550" s="24"/>
      <c r="H550" s="48"/>
      <c r="I550" s="48"/>
    </row>
    <row r="551" ht="16.5" customHeight="1">
      <c r="B551" s="24"/>
      <c r="C551" s="24"/>
      <c r="D551" s="24"/>
      <c r="E551" s="24"/>
      <c r="F551" s="24"/>
      <c r="G551" s="24"/>
      <c r="H551" s="48"/>
      <c r="I551" s="48"/>
    </row>
    <row r="552" ht="16.5" customHeight="1">
      <c r="B552" s="24"/>
      <c r="C552" s="24"/>
      <c r="D552" s="24"/>
      <c r="E552" s="24"/>
      <c r="F552" s="24"/>
      <c r="G552" s="24"/>
      <c r="H552" s="48"/>
      <c r="I552" s="48"/>
    </row>
    <row r="553" ht="16.5" customHeight="1">
      <c r="B553" s="24"/>
      <c r="C553" s="24"/>
      <c r="D553" s="24"/>
      <c r="E553" s="24"/>
      <c r="F553" s="24"/>
      <c r="G553" s="24"/>
      <c r="H553" s="48"/>
      <c r="I553" s="48"/>
    </row>
    <row r="554" ht="16.5" customHeight="1">
      <c r="B554" s="24"/>
      <c r="C554" s="24"/>
      <c r="D554" s="24"/>
      <c r="E554" s="24"/>
      <c r="F554" s="24"/>
      <c r="G554" s="24"/>
      <c r="H554" s="48"/>
      <c r="I554" s="48"/>
    </row>
    <row r="555" ht="16.5" customHeight="1">
      <c r="B555" s="24"/>
      <c r="C555" s="24"/>
      <c r="D555" s="24"/>
      <c r="E555" s="24"/>
      <c r="F555" s="24"/>
      <c r="G555" s="24"/>
      <c r="H555" s="48"/>
      <c r="I555" s="48"/>
    </row>
    <row r="556" ht="16.5" customHeight="1">
      <c r="B556" s="24"/>
      <c r="C556" s="24"/>
      <c r="D556" s="24"/>
      <c r="E556" s="24"/>
      <c r="F556" s="24"/>
      <c r="G556" s="24"/>
      <c r="H556" s="48"/>
      <c r="I556" s="48"/>
    </row>
    <row r="557" ht="16.5" customHeight="1">
      <c r="B557" s="24"/>
      <c r="C557" s="24"/>
      <c r="D557" s="24"/>
      <c r="E557" s="24"/>
      <c r="F557" s="24"/>
      <c r="G557" s="24"/>
      <c r="H557" s="48"/>
      <c r="I557" s="48"/>
    </row>
    <row r="558" ht="16.5" customHeight="1">
      <c r="B558" s="24"/>
      <c r="C558" s="24"/>
      <c r="D558" s="24"/>
      <c r="E558" s="24"/>
      <c r="F558" s="24"/>
      <c r="G558" s="24"/>
      <c r="H558" s="48"/>
      <c r="I558" s="48"/>
    </row>
    <row r="559" ht="16.5" customHeight="1">
      <c r="B559" s="24"/>
      <c r="C559" s="24"/>
      <c r="D559" s="24"/>
      <c r="E559" s="24"/>
      <c r="F559" s="24"/>
      <c r="G559" s="24"/>
      <c r="H559" s="48"/>
      <c r="I559" s="48"/>
    </row>
    <row r="560" ht="16.5" customHeight="1">
      <c r="B560" s="24"/>
      <c r="C560" s="24"/>
      <c r="D560" s="24"/>
      <c r="E560" s="24"/>
      <c r="F560" s="24"/>
      <c r="G560" s="24"/>
      <c r="H560" s="48"/>
      <c r="I560" s="48"/>
    </row>
    <row r="561" ht="16.5" customHeight="1">
      <c r="B561" s="24"/>
      <c r="C561" s="24"/>
      <c r="D561" s="24"/>
      <c r="E561" s="24"/>
      <c r="F561" s="24"/>
      <c r="G561" s="24"/>
      <c r="H561" s="48"/>
      <c r="I561" s="48"/>
    </row>
    <row r="562" ht="16.5" customHeight="1">
      <c r="B562" s="24"/>
      <c r="C562" s="24"/>
      <c r="D562" s="24"/>
      <c r="E562" s="24"/>
      <c r="F562" s="24"/>
      <c r="G562" s="24"/>
      <c r="H562" s="48"/>
      <c r="I562" s="48"/>
    </row>
    <row r="563" ht="16.5" customHeight="1">
      <c r="B563" s="24"/>
      <c r="C563" s="24"/>
      <c r="D563" s="24"/>
      <c r="E563" s="24"/>
      <c r="F563" s="24"/>
      <c r="G563" s="24"/>
      <c r="H563" s="48"/>
      <c r="I563" s="48"/>
    </row>
    <row r="564" ht="16.5" customHeight="1">
      <c r="B564" s="24"/>
      <c r="C564" s="24"/>
      <c r="D564" s="24"/>
      <c r="E564" s="24"/>
      <c r="F564" s="24"/>
      <c r="G564" s="24"/>
      <c r="H564" s="48"/>
      <c r="I564" s="48"/>
    </row>
    <row r="565" ht="16.5" customHeight="1">
      <c r="B565" s="24"/>
      <c r="C565" s="24"/>
      <c r="D565" s="24"/>
      <c r="E565" s="24"/>
      <c r="F565" s="24"/>
      <c r="G565" s="24"/>
      <c r="H565" s="48"/>
      <c r="I565" s="48"/>
    </row>
    <row r="566" ht="16.5" customHeight="1">
      <c r="B566" s="24"/>
      <c r="C566" s="24"/>
      <c r="D566" s="24"/>
      <c r="E566" s="24"/>
      <c r="F566" s="24"/>
      <c r="G566" s="24"/>
      <c r="H566" s="48"/>
      <c r="I566" s="48"/>
    </row>
    <row r="567" ht="16.5" customHeight="1">
      <c r="B567" s="24"/>
      <c r="C567" s="24"/>
      <c r="D567" s="24"/>
      <c r="E567" s="24"/>
      <c r="F567" s="24"/>
      <c r="G567" s="24"/>
      <c r="H567" s="48"/>
      <c r="I567" s="48"/>
    </row>
    <row r="568" ht="16.5" customHeight="1">
      <c r="B568" s="24"/>
      <c r="C568" s="24"/>
      <c r="D568" s="24"/>
      <c r="E568" s="24"/>
      <c r="F568" s="24"/>
      <c r="G568" s="24"/>
      <c r="H568" s="48"/>
      <c r="I568" s="48"/>
    </row>
    <row r="569" ht="16.5" customHeight="1">
      <c r="B569" s="24"/>
      <c r="C569" s="24"/>
      <c r="D569" s="24"/>
      <c r="E569" s="24"/>
      <c r="F569" s="24"/>
      <c r="G569" s="24"/>
      <c r="H569" s="48"/>
      <c r="I569" s="48"/>
    </row>
    <row r="570" ht="16.5" customHeight="1">
      <c r="B570" s="24"/>
      <c r="C570" s="24"/>
      <c r="D570" s="24"/>
      <c r="E570" s="24"/>
      <c r="F570" s="24"/>
      <c r="G570" s="24"/>
      <c r="H570" s="48"/>
      <c r="I570" s="48"/>
    </row>
    <row r="571" ht="16.5" customHeight="1">
      <c r="B571" s="24"/>
      <c r="C571" s="24"/>
      <c r="D571" s="24"/>
      <c r="E571" s="24"/>
      <c r="F571" s="24"/>
      <c r="G571" s="24"/>
      <c r="H571" s="48"/>
      <c r="I571" s="48"/>
    </row>
    <row r="572" ht="16.5" customHeight="1">
      <c r="B572" s="24"/>
      <c r="C572" s="24"/>
      <c r="D572" s="24"/>
      <c r="E572" s="24"/>
      <c r="F572" s="24"/>
      <c r="G572" s="24"/>
      <c r="H572" s="48"/>
      <c r="I572" s="48"/>
    </row>
    <row r="573" ht="16.5" customHeight="1">
      <c r="B573" s="24"/>
      <c r="C573" s="24"/>
      <c r="D573" s="24"/>
      <c r="E573" s="24"/>
      <c r="F573" s="24"/>
      <c r="G573" s="24"/>
      <c r="H573" s="48"/>
      <c r="I573" s="48"/>
    </row>
    <row r="574" ht="16.5" customHeight="1">
      <c r="B574" s="24"/>
      <c r="C574" s="24"/>
      <c r="D574" s="24"/>
      <c r="E574" s="24"/>
      <c r="F574" s="24"/>
      <c r="G574" s="24"/>
      <c r="H574" s="48"/>
      <c r="I574" s="48"/>
    </row>
    <row r="575" ht="16.5" customHeight="1">
      <c r="B575" s="24"/>
      <c r="C575" s="24"/>
      <c r="D575" s="24"/>
      <c r="E575" s="24"/>
      <c r="F575" s="24"/>
      <c r="G575" s="24"/>
      <c r="H575" s="48"/>
      <c r="I575" s="48"/>
    </row>
    <row r="576" ht="16.5" customHeight="1">
      <c r="B576" s="24"/>
      <c r="C576" s="24"/>
      <c r="D576" s="24"/>
      <c r="E576" s="24"/>
      <c r="F576" s="24"/>
      <c r="G576" s="24"/>
      <c r="H576" s="48"/>
      <c r="I576" s="48"/>
    </row>
    <row r="577" ht="16.5" customHeight="1">
      <c r="B577" s="24"/>
      <c r="C577" s="24"/>
      <c r="D577" s="24"/>
      <c r="E577" s="24"/>
      <c r="F577" s="24"/>
      <c r="G577" s="24"/>
      <c r="H577" s="48"/>
      <c r="I577" s="48"/>
    </row>
    <row r="578" ht="16.5" customHeight="1">
      <c r="B578" s="24"/>
      <c r="C578" s="24"/>
      <c r="D578" s="24"/>
      <c r="E578" s="24"/>
      <c r="F578" s="24"/>
      <c r="G578" s="24"/>
      <c r="H578" s="48"/>
      <c r="I578" s="48"/>
    </row>
    <row r="579" ht="16.5" customHeight="1">
      <c r="B579" s="24"/>
      <c r="C579" s="24"/>
      <c r="D579" s="24"/>
      <c r="E579" s="24"/>
      <c r="F579" s="24"/>
      <c r="G579" s="24"/>
      <c r="H579" s="48"/>
      <c r="I579" s="48"/>
    </row>
    <row r="580" ht="16.5" customHeight="1">
      <c r="B580" s="24"/>
      <c r="C580" s="24"/>
      <c r="D580" s="24"/>
      <c r="E580" s="24"/>
      <c r="F580" s="24"/>
      <c r="G580" s="24"/>
      <c r="H580" s="48"/>
      <c r="I580" s="48"/>
    </row>
    <row r="581" ht="16.5" customHeight="1">
      <c r="B581" s="24"/>
      <c r="C581" s="24"/>
      <c r="D581" s="24"/>
      <c r="E581" s="24"/>
      <c r="F581" s="24"/>
      <c r="G581" s="24"/>
      <c r="H581" s="48"/>
      <c r="I581" s="48"/>
    </row>
    <row r="582" ht="16.5" customHeight="1">
      <c r="B582" s="24"/>
      <c r="C582" s="24"/>
      <c r="D582" s="24"/>
      <c r="E582" s="24"/>
      <c r="F582" s="24"/>
      <c r="G582" s="24"/>
      <c r="H582" s="48"/>
      <c r="I582" s="48"/>
    </row>
    <row r="583" ht="16.5" customHeight="1">
      <c r="B583" s="24"/>
      <c r="C583" s="24"/>
      <c r="D583" s="24"/>
      <c r="E583" s="24"/>
      <c r="F583" s="24"/>
      <c r="G583" s="24"/>
      <c r="H583" s="48"/>
      <c r="I583" s="48"/>
    </row>
    <row r="584" ht="16.5" customHeight="1">
      <c r="B584" s="24"/>
      <c r="C584" s="24"/>
      <c r="D584" s="24"/>
      <c r="E584" s="24"/>
      <c r="F584" s="24"/>
      <c r="G584" s="24"/>
      <c r="H584" s="48"/>
      <c r="I584" s="48"/>
    </row>
    <row r="585" ht="16.5" customHeight="1">
      <c r="B585" s="24"/>
      <c r="C585" s="24"/>
      <c r="D585" s="24"/>
      <c r="E585" s="24"/>
      <c r="F585" s="24"/>
      <c r="G585" s="24"/>
      <c r="H585" s="48"/>
      <c r="I585" s="48"/>
    </row>
    <row r="586" ht="16.5" customHeight="1">
      <c r="B586" s="24"/>
      <c r="C586" s="24"/>
      <c r="D586" s="24"/>
      <c r="E586" s="24"/>
      <c r="F586" s="24"/>
      <c r="G586" s="24"/>
      <c r="H586" s="48"/>
      <c r="I586" s="48"/>
    </row>
    <row r="587" ht="16.5" customHeight="1">
      <c r="B587" s="24"/>
      <c r="C587" s="24"/>
      <c r="D587" s="24"/>
      <c r="E587" s="24"/>
      <c r="F587" s="24"/>
      <c r="G587" s="24"/>
      <c r="H587" s="48"/>
      <c r="I587" s="48"/>
    </row>
    <row r="588" ht="16.5" customHeight="1">
      <c r="B588" s="24"/>
      <c r="C588" s="24"/>
      <c r="D588" s="24"/>
      <c r="E588" s="24"/>
      <c r="F588" s="24"/>
      <c r="G588" s="24"/>
      <c r="H588" s="48"/>
      <c r="I588" s="48"/>
    </row>
    <row r="589" ht="16.5" customHeight="1">
      <c r="B589" s="24"/>
      <c r="C589" s="24"/>
      <c r="D589" s="24"/>
      <c r="E589" s="24"/>
      <c r="F589" s="24"/>
      <c r="G589" s="24"/>
      <c r="H589" s="48"/>
      <c r="I589" s="48"/>
    </row>
    <row r="590" ht="16.5" customHeight="1">
      <c r="B590" s="24"/>
      <c r="C590" s="24"/>
      <c r="D590" s="24"/>
      <c r="E590" s="24"/>
      <c r="F590" s="24"/>
      <c r="G590" s="24"/>
      <c r="H590" s="48"/>
      <c r="I590" s="48"/>
    </row>
    <row r="591" ht="16.5" customHeight="1">
      <c r="B591" s="24"/>
      <c r="C591" s="24"/>
      <c r="D591" s="24"/>
      <c r="E591" s="24"/>
      <c r="F591" s="24"/>
      <c r="G591" s="24"/>
      <c r="H591" s="48"/>
      <c r="I591" s="48"/>
    </row>
    <row r="592" ht="16.5" customHeight="1">
      <c r="B592" s="24"/>
      <c r="C592" s="24"/>
      <c r="D592" s="24"/>
      <c r="E592" s="24"/>
      <c r="F592" s="24"/>
      <c r="G592" s="24"/>
      <c r="H592" s="48"/>
      <c r="I592" s="48"/>
    </row>
    <row r="593" ht="16.5" customHeight="1">
      <c r="B593" s="24"/>
      <c r="C593" s="24"/>
      <c r="D593" s="24"/>
      <c r="E593" s="24"/>
      <c r="F593" s="24"/>
      <c r="G593" s="24"/>
      <c r="H593" s="48"/>
      <c r="I593" s="48"/>
    </row>
    <row r="594" ht="16.5" customHeight="1">
      <c r="B594" s="24"/>
      <c r="C594" s="24"/>
      <c r="D594" s="24"/>
      <c r="E594" s="24"/>
      <c r="F594" s="24"/>
      <c r="G594" s="24"/>
      <c r="H594" s="48"/>
      <c r="I594" s="48"/>
    </row>
    <row r="595" ht="16.5" customHeight="1">
      <c r="B595" s="24"/>
      <c r="C595" s="24"/>
      <c r="D595" s="24"/>
      <c r="E595" s="24"/>
      <c r="F595" s="24"/>
      <c r="G595" s="24"/>
      <c r="H595" s="48"/>
      <c r="I595" s="48"/>
    </row>
    <row r="596" ht="16.5" customHeight="1">
      <c r="B596" s="24"/>
      <c r="C596" s="24"/>
      <c r="D596" s="24"/>
      <c r="E596" s="24"/>
      <c r="F596" s="24"/>
      <c r="G596" s="24"/>
      <c r="H596" s="48"/>
      <c r="I596" s="48"/>
    </row>
    <row r="597" ht="16.5" customHeight="1">
      <c r="B597" s="24"/>
      <c r="C597" s="24"/>
      <c r="D597" s="24"/>
      <c r="E597" s="24"/>
      <c r="F597" s="24"/>
      <c r="G597" s="24"/>
      <c r="H597" s="48"/>
      <c r="I597" s="48"/>
    </row>
    <row r="598" ht="16.5" customHeight="1">
      <c r="B598" s="24"/>
      <c r="C598" s="24"/>
      <c r="D598" s="24"/>
      <c r="E598" s="24"/>
      <c r="F598" s="24"/>
      <c r="G598" s="24"/>
      <c r="H598" s="48"/>
      <c r="I598" s="48"/>
    </row>
    <row r="599" ht="16.5" customHeight="1">
      <c r="B599" s="24"/>
      <c r="C599" s="24"/>
      <c r="D599" s="24"/>
      <c r="E599" s="24"/>
      <c r="F599" s="24"/>
      <c r="G599" s="24"/>
      <c r="H599" s="48"/>
      <c r="I599" s="48"/>
    </row>
    <row r="600" ht="16.5" customHeight="1">
      <c r="B600" s="24"/>
      <c r="C600" s="24"/>
      <c r="D600" s="24"/>
      <c r="E600" s="24"/>
      <c r="F600" s="24"/>
      <c r="G600" s="24"/>
      <c r="H600" s="48"/>
      <c r="I600" s="48"/>
    </row>
    <row r="601" ht="16.5" customHeight="1">
      <c r="B601" s="24"/>
      <c r="C601" s="24"/>
      <c r="D601" s="24"/>
      <c r="E601" s="24"/>
      <c r="F601" s="24"/>
      <c r="G601" s="24"/>
      <c r="H601" s="48"/>
      <c r="I601" s="48"/>
    </row>
    <row r="602" ht="16.5" customHeight="1">
      <c r="B602" s="24"/>
      <c r="C602" s="24"/>
      <c r="D602" s="24"/>
      <c r="E602" s="24"/>
      <c r="F602" s="24"/>
      <c r="G602" s="24"/>
      <c r="H602" s="48"/>
      <c r="I602" s="48"/>
    </row>
    <row r="603" ht="16.5" customHeight="1">
      <c r="B603" s="24"/>
      <c r="C603" s="24"/>
      <c r="D603" s="24"/>
      <c r="E603" s="24"/>
      <c r="F603" s="24"/>
      <c r="G603" s="24"/>
      <c r="H603" s="48"/>
      <c r="I603" s="48"/>
    </row>
    <row r="604" ht="16.5" customHeight="1">
      <c r="B604" s="24"/>
      <c r="C604" s="24"/>
      <c r="D604" s="24"/>
      <c r="E604" s="24"/>
      <c r="F604" s="24"/>
      <c r="G604" s="24"/>
      <c r="H604" s="48"/>
      <c r="I604" s="48"/>
    </row>
    <row r="605" ht="16.5" customHeight="1">
      <c r="B605" s="24"/>
      <c r="C605" s="24"/>
      <c r="D605" s="24"/>
      <c r="E605" s="24"/>
      <c r="F605" s="24"/>
      <c r="G605" s="24"/>
      <c r="H605" s="48"/>
      <c r="I605" s="48"/>
    </row>
    <row r="606" ht="16.5" customHeight="1">
      <c r="B606" s="24"/>
      <c r="C606" s="24"/>
      <c r="D606" s="24"/>
      <c r="E606" s="24"/>
      <c r="F606" s="24"/>
      <c r="G606" s="24"/>
      <c r="H606" s="48"/>
      <c r="I606" s="48"/>
    </row>
    <row r="607" ht="16.5" customHeight="1">
      <c r="B607" s="24"/>
      <c r="C607" s="24"/>
      <c r="D607" s="24"/>
      <c r="E607" s="24"/>
      <c r="F607" s="24"/>
      <c r="G607" s="24"/>
      <c r="H607" s="48"/>
      <c r="I607" s="48"/>
    </row>
    <row r="608" ht="16.5" customHeight="1">
      <c r="B608" s="24"/>
      <c r="C608" s="24"/>
      <c r="D608" s="24"/>
      <c r="E608" s="24"/>
      <c r="F608" s="24"/>
      <c r="G608" s="24"/>
      <c r="H608" s="48"/>
      <c r="I608" s="48"/>
    </row>
    <row r="609" ht="16.5" customHeight="1">
      <c r="B609" s="24"/>
      <c r="C609" s="24"/>
      <c r="D609" s="24"/>
      <c r="E609" s="24"/>
      <c r="F609" s="24"/>
      <c r="G609" s="24"/>
      <c r="H609" s="48"/>
      <c r="I609" s="48"/>
    </row>
    <row r="610" ht="16.5" customHeight="1">
      <c r="B610" s="24"/>
      <c r="C610" s="24"/>
      <c r="D610" s="24"/>
      <c r="E610" s="24"/>
      <c r="F610" s="24"/>
      <c r="G610" s="24"/>
      <c r="H610" s="48"/>
      <c r="I610" s="48"/>
    </row>
    <row r="611" ht="16.5" customHeight="1">
      <c r="B611" s="24"/>
      <c r="C611" s="24"/>
      <c r="D611" s="24"/>
      <c r="E611" s="24"/>
      <c r="F611" s="24"/>
      <c r="G611" s="24"/>
      <c r="H611" s="48"/>
      <c r="I611" s="48"/>
    </row>
    <row r="612" ht="16.5" customHeight="1">
      <c r="B612" s="24"/>
      <c r="C612" s="24"/>
      <c r="D612" s="24"/>
      <c r="E612" s="24"/>
      <c r="F612" s="24"/>
      <c r="G612" s="24"/>
      <c r="H612" s="48"/>
      <c r="I612" s="48"/>
    </row>
    <row r="613" ht="16.5" customHeight="1">
      <c r="B613" s="24"/>
      <c r="C613" s="24"/>
      <c r="D613" s="24"/>
      <c r="E613" s="24"/>
      <c r="F613" s="24"/>
      <c r="G613" s="24"/>
      <c r="H613" s="48"/>
      <c r="I613" s="48"/>
    </row>
    <row r="614" ht="16.5" customHeight="1">
      <c r="B614" s="24"/>
      <c r="C614" s="24"/>
      <c r="D614" s="24"/>
      <c r="E614" s="24"/>
      <c r="F614" s="24"/>
      <c r="G614" s="24"/>
      <c r="H614" s="48"/>
      <c r="I614" s="48"/>
    </row>
    <row r="615" ht="16.5" customHeight="1">
      <c r="B615" s="24"/>
      <c r="C615" s="24"/>
      <c r="D615" s="24"/>
      <c r="E615" s="24"/>
      <c r="F615" s="24"/>
      <c r="G615" s="24"/>
      <c r="H615" s="48"/>
      <c r="I615" s="48"/>
    </row>
    <row r="616" ht="16.5" customHeight="1">
      <c r="B616" s="24"/>
      <c r="C616" s="24"/>
      <c r="D616" s="24"/>
      <c r="E616" s="24"/>
      <c r="F616" s="24"/>
      <c r="G616" s="24"/>
      <c r="H616" s="48"/>
      <c r="I616" s="48"/>
    </row>
    <row r="617" ht="16.5" customHeight="1">
      <c r="B617" s="24"/>
      <c r="C617" s="24"/>
      <c r="D617" s="24"/>
      <c r="E617" s="24"/>
      <c r="F617" s="24"/>
      <c r="G617" s="24"/>
      <c r="H617" s="48"/>
      <c r="I617" s="48"/>
    </row>
    <row r="618" ht="16.5" customHeight="1">
      <c r="B618" s="24"/>
      <c r="C618" s="24"/>
      <c r="D618" s="24"/>
      <c r="E618" s="24"/>
      <c r="F618" s="24"/>
      <c r="G618" s="24"/>
      <c r="H618" s="48"/>
      <c r="I618" s="48"/>
    </row>
    <row r="619" ht="16.5" customHeight="1">
      <c r="B619" s="24"/>
      <c r="C619" s="24"/>
      <c r="D619" s="24"/>
      <c r="E619" s="24"/>
      <c r="F619" s="24"/>
      <c r="G619" s="24"/>
      <c r="H619" s="48"/>
      <c r="I619" s="48"/>
    </row>
    <row r="620" ht="16.5" customHeight="1">
      <c r="B620" s="24"/>
      <c r="C620" s="24"/>
      <c r="D620" s="24"/>
      <c r="E620" s="24"/>
      <c r="F620" s="24"/>
      <c r="G620" s="24"/>
      <c r="H620" s="48"/>
      <c r="I620" s="48"/>
    </row>
    <row r="621" ht="16.5" customHeight="1">
      <c r="B621" s="24"/>
      <c r="C621" s="24"/>
      <c r="D621" s="24"/>
      <c r="E621" s="24"/>
      <c r="F621" s="24"/>
      <c r="G621" s="24"/>
      <c r="H621" s="48"/>
      <c r="I621" s="48"/>
    </row>
    <row r="622" ht="16.5" customHeight="1">
      <c r="B622" s="24"/>
      <c r="C622" s="24"/>
      <c r="D622" s="24"/>
      <c r="E622" s="24"/>
      <c r="F622" s="24"/>
      <c r="G622" s="24"/>
      <c r="H622" s="48"/>
      <c r="I622" s="48"/>
    </row>
    <row r="623" ht="16.5" customHeight="1">
      <c r="B623" s="24"/>
      <c r="C623" s="24"/>
      <c r="D623" s="24"/>
      <c r="E623" s="24"/>
      <c r="F623" s="24"/>
      <c r="G623" s="24"/>
      <c r="H623" s="48"/>
      <c r="I623" s="48"/>
    </row>
    <row r="624" ht="16.5" customHeight="1">
      <c r="B624" s="24"/>
      <c r="C624" s="24"/>
      <c r="D624" s="24"/>
      <c r="E624" s="24"/>
      <c r="F624" s="24"/>
      <c r="G624" s="24"/>
      <c r="H624" s="48"/>
      <c r="I624" s="48"/>
    </row>
    <row r="625" ht="16.5" customHeight="1">
      <c r="B625" s="24"/>
      <c r="C625" s="24"/>
      <c r="D625" s="24"/>
      <c r="E625" s="24"/>
      <c r="F625" s="24"/>
      <c r="G625" s="24"/>
      <c r="H625" s="48"/>
      <c r="I625" s="48"/>
    </row>
    <row r="626" ht="16.5" customHeight="1">
      <c r="B626" s="24"/>
      <c r="C626" s="24"/>
      <c r="D626" s="24"/>
      <c r="E626" s="24"/>
      <c r="F626" s="24"/>
      <c r="G626" s="24"/>
      <c r="H626" s="48"/>
      <c r="I626" s="48"/>
    </row>
    <row r="627" ht="16.5" customHeight="1">
      <c r="B627" s="24"/>
      <c r="C627" s="24"/>
      <c r="D627" s="24"/>
      <c r="E627" s="24"/>
      <c r="F627" s="24"/>
      <c r="G627" s="24"/>
      <c r="H627" s="48"/>
      <c r="I627" s="48"/>
    </row>
    <row r="628" ht="16.5" customHeight="1">
      <c r="B628" s="24"/>
      <c r="C628" s="24"/>
      <c r="D628" s="24"/>
      <c r="E628" s="24"/>
      <c r="F628" s="24"/>
      <c r="G628" s="24"/>
      <c r="H628" s="48"/>
      <c r="I628" s="48"/>
    </row>
    <row r="629" ht="16.5" customHeight="1">
      <c r="B629" s="24"/>
      <c r="C629" s="24"/>
      <c r="D629" s="24"/>
      <c r="E629" s="24"/>
      <c r="F629" s="24"/>
      <c r="G629" s="24"/>
      <c r="H629" s="48"/>
      <c r="I629" s="48"/>
    </row>
    <row r="630" ht="16.5" customHeight="1">
      <c r="B630" s="24"/>
      <c r="C630" s="24"/>
      <c r="D630" s="24"/>
      <c r="E630" s="24"/>
      <c r="F630" s="24"/>
      <c r="G630" s="24"/>
      <c r="H630" s="48"/>
      <c r="I630" s="48"/>
    </row>
    <row r="631" ht="16.5" customHeight="1">
      <c r="B631" s="24"/>
      <c r="C631" s="24"/>
      <c r="D631" s="24"/>
      <c r="E631" s="24"/>
      <c r="F631" s="24"/>
      <c r="G631" s="24"/>
      <c r="H631" s="48"/>
      <c r="I631" s="48"/>
    </row>
    <row r="632" ht="16.5" customHeight="1">
      <c r="B632" s="24"/>
      <c r="C632" s="24"/>
      <c r="D632" s="24"/>
      <c r="E632" s="24"/>
      <c r="F632" s="24"/>
      <c r="G632" s="24"/>
      <c r="H632" s="48"/>
      <c r="I632" s="48"/>
    </row>
    <row r="633" ht="16.5" customHeight="1">
      <c r="B633" s="24"/>
      <c r="C633" s="24"/>
      <c r="D633" s="24"/>
      <c r="E633" s="24"/>
      <c r="F633" s="24"/>
      <c r="G633" s="24"/>
      <c r="H633" s="48"/>
      <c r="I633" s="48"/>
    </row>
    <row r="634" ht="16.5" customHeight="1">
      <c r="B634" s="24"/>
      <c r="C634" s="24"/>
      <c r="D634" s="24"/>
      <c r="E634" s="24"/>
      <c r="F634" s="24"/>
      <c r="G634" s="24"/>
      <c r="H634" s="48"/>
      <c r="I634" s="48"/>
    </row>
    <row r="635" ht="16.5" customHeight="1">
      <c r="B635" s="24"/>
      <c r="C635" s="24"/>
      <c r="D635" s="24"/>
      <c r="E635" s="24"/>
      <c r="F635" s="24"/>
      <c r="G635" s="24"/>
      <c r="H635" s="48"/>
      <c r="I635" s="48"/>
    </row>
    <row r="636" ht="16.5" customHeight="1">
      <c r="B636" s="24"/>
      <c r="C636" s="24"/>
      <c r="D636" s="24"/>
      <c r="E636" s="24"/>
      <c r="F636" s="24"/>
      <c r="G636" s="24"/>
      <c r="H636" s="48"/>
      <c r="I636" s="48"/>
    </row>
    <row r="637" ht="16.5" customHeight="1">
      <c r="B637" s="24"/>
      <c r="C637" s="24"/>
      <c r="D637" s="24"/>
      <c r="E637" s="24"/>
      <c r="F637" s="24"/>
      <c r="G637" s="24"/>
      <c r="H637" s="48"/>
      <c r="I637" s="48"/>
    </row>
    <row r="638" ht="16.5" customHeight="1">
      <c r="B638" s="24"/>
      <c r="C638" s="24"/>
      <c r="D638" s="24"/>
      <c r="E638" s="24"/>
      <c r="F638" s="24"/>
      <c r="G638" s="24"/>
      <c r="H638" s="48"/>
      <c r="I638" s="48"/>
    </row>
    <row r="639" ht="16.5" customHeight="1">
      <c r="B639" s="24"/>
      <c r="C639" s="24"/>
      <c r="D639" s="24"/>
      <c r="E639" s="24"/>
      <c r="F639" s="24"/>
      <c r="G639" s="24"/>
      <c r="H639" s="48"/>
      <c r="I639" s="48"/>
    </row>
    <row r="640" ht="16.5" customHeight="1">
      <c r="B640" s="24"/>
      <c r="C640" s="24"/>
      <c r="D640" s="24"/>
      <c r="E640" s="24"/>
      <c r="F640" s="24"/>
      <c r="G640" s="24"/>
      <c r="H640" s="48"/>
      <c r="I640" s="48"/>
    </row>
    <row r="641" ht="16.5" customHeight="1">
      <c r="B641" s="24"/>
      <c r="C641" s="24"/>
      <c r="D641" s="24"/>
      <c r="E641" s="24"/>
      <c r="F641" s="24"/>
      <c r="G641" s="24"/>
      <c r="H641" s="48"/>
      <c r="I641" s="48"/>
    </row>
    <row r="642" ht="16.5" customHeight="1">
      <c r="B642" s="24"/>
      <c r="C642" s="24"/>
      <c r="D642" s="24"/>
      <c r="E642" s="24"/>
      <c r="F642" s="24"/>
      <c r="G642" s="24"/>
      <c r="H642" s="48"/>
      <c r="I642" s="48"/>
    </row>
    <row r="643" ht="16.5" customHeight="1">
      <c r="B643" s="24"/>
      <c r="C643" s="24"/>
      <c r="D643" s="24"/>
      <c r="E643" s="24"/>
      <c r="F643" s="24"/>
      <c r="G643" s="24"/>
      <c r="H643" s="48"/>
      <c r="I643" s="48"/>
    </row>
    <row r="644" ht="16.5" customHeight="1">
      <c r="B644" s="24"/>
      <c r="C644" s="24"/>
      <c r="D644" s="24"/>
      <c r="E644" s="24"/>
      <c r="F644" s="24"/>
      <c r="G644" s="24"/>
      <c r="H644" s="48"/>
      <c r="I644" s="48"/>
    </row>
    <row r="645" ht="16.5" customHeight="1">
      <c r="B645" s="24"/>
      <c r="C645" s="24"/>
      <c r="D645" s="24"/>
      <c r="E645" s="24"/>
      <c r="F645" s="24"/>
      <c r="G645" s="24"/>
      <c r="H645" s="48"/>
      <c r="I645" s="48"/>
    </row>
    <row r="646" ht="16.5" customHeight="1">
      <c r="B646" s="24"/>
      <c r="C646" s="24"/>
      <c r="D646" s="24"/>
      <c r="E646" s="24"/>
      <c r="F646" s="24"/>
      <c r="G646" s="24"/>
      <c r="H646" s="48"/>
      <c r="I646" s="48"/>
    </row>
    <row r="647" ht="16.5" customHeight="1">
      <c r="B647" s="24"/>
      <c r="C647" s="24"/>
      <c r="D647" s="24"/>
      <c r="E647" s="24"/>
      <c r="F647" s="24"/>
      <c r="G647" s="24"/>
      <c r="H647" s="48"/>
      <c r="I647" s="48"/>
    </row>
    <row r="648" ht="16.5" customHeight="1">
      <c r="B648" s="24"/>
      <c r="C648" s="24"/>
      <c r="D648" s="24"/>
      <c r="E648" s="24"/>
      <c r="F648" s="24"/>
      <c r="G648" s="24"/>
      <c r="H648" s="48"/>
      <c r="I648" s="48"/>
    </row>
    <row r="649" ht="16.5" customHeight="1">
      <c r="B649" s="24"/>
      <c r="C649" s="24"/>
      <c r="D649" s="24"/>
      <c r="E649" s="24"/>
      <c r="F649" s="24"/>
      <c r="G649" s="24"/>
      <c r="H649" s="48"/>
      <c r="I649" s="48"/>
    </row>
    <row r="650" ht="16.5" customHeight="1">
      <c r="B650" s="24"/>
      <c r="C650" s="24"/>
      <c r="D650" s="24"/>
      <c r="E650" s="24"/>
      <c r="F650" s="24"/>
      <c r="G650" s="24"/>
      <c r="H650" s="48"/>
      <c r="I650" s="48"/>
    </row>
    <row r="651" ht="16.5" customHeight="1">
      <c r="B651" s="24"/>
      <c r="C651" s="24"/>
      <c r="D651" s="24"/>
      <c r="E651" s="24"/>
      <c r="F651" s="24"/>
      <c r="G651" s="24"/>
      <c r="H651" s="48"/>
      <c r="I651" s="48"/>
    </row>
    <row r="652" ht="16.5" customHeight="1">
      <c r="B652" s="24"/>
      <c r="C652" s="24"/>
      <c r="D652" s="24"/>
      <c r="E652" s="24"/>
      <c r="F652" s="24"/>
      <c r="G652" s="24"/>
      <c r="H652" s="48"/>
      <c r="I652" s="48"/>
    </row>
    <row r="653" ht="16.5" customHeight="1">
      <c r="B653" s="24"/>
      <c r="C653" s="24"/>
      <c r="D653" s="24"/>
      <c r="E653" s="24"/>
      <c r="F653" s="24"/>
      <c r="G653" s="24"/>
      <c r="H653" s="48"/>
      <c r="I653" s="48"/>
    </row>
    <row r="654" ht="16.5" customHeight="1">
      <c r="B654" s="24"/>
      <c r="C654" s="24"/>
      <c r="D654" s="24"/>
      <c r="E654" s="24"/>
      <c r="F654" s="24"/>
      <c r="G654" s="24"/>
      <c r="H654" s="48"/>
      <c r="I654" s="48"/>
    </row>
    <row r="655" ht="16.5" customHeight="1">
      <c r="B655" s="24"/>
      <c r="C655" s="24"/>
      <c r="D655" s="24"/>
      <c r="E655" s="24"/>
      <c r="F655" s="24"/>
      <c r="G655" s="24"/>
      <c r="H655" s="48"/>
      <c r="I655" s="48"/>
    </row>
    <row r="656" ht="16.5" customHeight="1">
      <c r="B656" s="24"/>
      <c r="C656" s="24"/>
      <c r="D656" s="24"/>
      <c r="E656" s="24"/>
      <c r="F656" s="24"/>
      <c r="G656" s="24"/>
      <c r="H656" s="48"/>
      <c r="I656" s="48"/>
    </row>
    <row r="657" ht="16.5" customHeight="1">
      <c r="B657" s="24"/>
      <c r="C657" s="24"/>
      <c r="D657" s="24"/>
      <c r="E657" s="24"/>
      <c r="F657" s="24"/>
      <c r="G657" s="24"/>
      <c r="H657" s="48"/>
      <c r="I657" s="48"/>
    </row>
    <row r="658" ht="16.5" customHeight="1">
      <c r="B658" s="24"/>
      <c r="C658" s="24"/>
      <c r="D658" s="24"/>
      <c r="E658" s="24"/>
      <c r="F658" s="24"/>
      <c r="G658" s="24"/>
      <c r="H658" s="48"/>
      <c r="I658" s="48"/>
    </row>
    <row r="659" ht="16.5" customHeight="1">
      <c r="B659" s="24"/>
      <c r="C659" s="24"/>
      <c r="D659" s="24"/>
      <c r="E659" s="24"/>
      <c r="F659" s="24"/>
      <c r="G659" s="24"/>
      <c r="H659" s="48"/>
      <c r="I659" s="48"/>
    </row>
    <row r="660" ht="16.5" customHeight="1">
      <c r="B660" s="24"/>
      <c r="C660" s="24"/>
      <c r="D660" s="24"/>
      <c r="E660" s="24"/>
      <c r="F660" s="24"/>
      <c r="G660" s="24"/>
      <c r="H660" s="48"/>
      <c r="I660" s="48"/>
    </row>
    <row r="661" ht="16.5" customHeight="1">
      <c r="B661" s="24"/>
      <c r="C661" s="24"/>
      <c r="D661" s="24"/>
      <c r="E661" s="24"/>
      <c r="F661" s="24"/>
      <c r="G661" s="24"/>
      <c r="H661" s="48"/>
      <c r="I661" s="48"/>
    </row>
    <row r="662" ht="16.5" customHeight="1">
      <c r="B662" s="24"/>
      <c r="C662" s="24"/>
      <c r="D662" s="24"/>
      <c r="E662" s="24"/>
      <c r="F662" s="24"/>
      <c r="G662" s="24"/>
      <c r="H662" s="48"/>
      <c r="I662" s="48"/>
    </row>
    <row r="663" ht="16.5" customHeight="1">
      <c r="B663" s="24"/>
      <c r="C663" s="24"/>
      <c r="D663" s="24"/>
      <c r="E663" s="24"/>
      <c r="F663" s="24"/>
      <c r="G663" s="24"/>
      <c r="H663" s="48"/>
      <c r="I663" s="48"/>
    </row>
    <row r="664" ht="16.5" customHeight="1">
      <c r="B664" s="24"/>
      <c r="C664" s="24"/>
      <c r="D664" s="24"/>
      <c r="E664" s="24"/>
      <c r="F664" s="24"/>
      <c r="G664" s="24"/>
      <c r="H664" s="48"/>
      <c r="I664" s="48"/>
    </row>
    <row r="665" ht="16.5" customHeight="1">
      <c r="B665" s="24"/>
      <c r="C665" s="24"/>
      <c r="D665" s="24"/>
      <c r="E665" s="24"/>
      <c r="F665" s="24"/>
      <c r="G665" s="24"/>
      <c r="H665" s="48"/>
      <c r="I665" s="48"/>
    </row>
    <row r="666" ht="16.5" customHeight="1">
      <c r="B666" s="24"/>
      <c r="C666" s="24"/>
      <c r="D666" s="24"/>
      <c r="E666" s="24"/>
      <c r="F666" s="24"/>
      <c r="G666" s="24"/>
      <c r="H666" s="48"/>
      <c r="I666" s="48"/>
    </row>
    <row r="667" ht="16.5" customHeight="1">
      <c r="B667" s="24"/>
      <c r="C667" s="24"/>
      <c r="D667" s="24"/>
      <c r="E667" s="24"/>
      <c r="F667" s="24"/>
      <c r="G667" s="24"/>
      <c r="H667" s="48"/>
      <c r="I667" s="48"/>
    </row>
    <row r="668" ht="16.5" customHeight="1">
      <c r="B668" s="24"/>
      <c r="C668" s="24"/>
      <c r="D668" s="24"/>
      <c r="E668" s="24"/>
      <c r="F668" s="24"/>
      <c r="G668" s="24"/>
      <c r="H668" s="48"/>
      <c r="I668" s="48"/>
    </row>
    <row r="669" ht="16.5" customHeight="1">
      <c r="B669" s="24"/>
      <c r="C669" s="24"/>
      <c r="D669" s="24"/>
      <c r="E669" s="24"/>
      <c r="F669" s="24"/>
      <c r="G669" s="24"/>
      <c r="H669" s="48"/>
      <c r="I669" s="48"/>
    </row>
    <row r="670" ht="16.5" customHeight="1">
      <c r="B670" s="24"/>
      <c r="C670" s="24"/>
      <c r="D670" s="24"/>
      <c r="E670" s="24"/>
      <c r="F670" s="24"/>
      <c r="G670" s="24"/>
      <c r="H670" s="48"/>
      <c r="I670" s="48"/>
    </row>
    <row r="671" ht="16.5" customHeight="1">
      <c r="B671" s="24"/>
      <c r="C671" s="24"/>
      <c r="D671" s="24"/>
      <c r="E671" s="24"/>
      <c r="F671" s="24"/>
      <c r="G671" s="24"/>
      <c r="H671" s="48"/>
      <c r="I671" s="48"/>
    </row>
    <row r="672" ht="16.5" customHeight="1">
      <c r="B672" s="24"/>
      <c r="C672" s="24"/>
      <c r="D672" s="24"/>
      <c r="E672" s="24"/>
      <c r="F672" s="24"/>
      <c r="G672" s="24"/>
      <c r="H672" s="48"/>
      <c r="I672" s="48"/>
    </row>
    <row r="673" ht="16.5" customHeight="1">
      <c r="B673" s="24"/>
      <c r="C673" s="24"/>
      <c r="D673" s="24"/>
      <c r="E673" s="24"/>
      <c r="F673" s="24"/>
      <c r="G673" s="24"/>
      <c r="H673" s="48"/>
      <c r="I673" s="48"/>
    </row>
    <row r="674" ht="16.5" customHeight="1">
      <c r="B674" s="24"/>
      <c r="C674" s="24"/>
      <c r="D674" s="24"/>
      <c r="E674" s="24"/>
      <c r="F674" s="24"/>
      <c r="G674" s="24"/>
      <c r="H674" s="48"/>
      <c r="I674" s="48"/>
    </row>
    <row r="675" ht="16.5" customHeight="1">
      <c r="B675" s="24"/>
      <c r="C675" s="24"/>
      <c r="D675" s="24"/>
      <c r="E675" s="24"/>
      <c r="F675" s="24"/>
      <c r="G675" s="24"/>
      <c r="H675" s="48"/>
      <c r="I675" s="48"/>
    </row>
    <row r="676" ht="16.5" customHeight="1">
      <c r="B676" s="24"/>
      <c r="C676" s="24"/>
      <c r="D676" s="24"/>
      <c r="E676" s="24"/>
      <c r="F676" s="24"/>
      <c r="G676" s="24"/>
      <c r="H676" s="48"/>
      <c r="I676" s="48"/>
    </row>
    <row r="677" ht="16.5" customHeight="1">
      <c r="B677" s="24"/>
      <c r="C677" s="24"/>
      <c r="D677" s="24"/>
      <c r="E677" s="24"/>
      <c r="F677" s="24"/>
      <c r="G677" s="24"/>
      <c r="H677" s="48"/>
      <c r="I677" s="48"/>
    </row>
    <row r="678" ht="16.5" customHeight="1">
      <c r="B678" s="24"/>
      <c r="C678" s="24"/>
      <c r="D678" s="24"/>
      <c r="E678" s="24"/>
      <c r="F678" s="24"/>
      <c r="G678" s="24"/>
      <c r="H678" s="48"/>
      <c r="I678" s="48"/>
    </row>
    <row r="679" ht="16.5" customHeight="1">
      <c r="B679" s="24"/>
      <c r="C679" s="24"/>
      <c r="D679" s="24"/>
      <c r="E679" s="24"/>
      <c r="F679" s="24"/>
      <c r="G679" s="24"/>
      <c r="H679" s="48"/>
      <c r="I679" s="48"/>
    </row>
    <row r="680" ht="16.5" customHeight="1">
      <c r="B680" s="24"/>
      <c r="C680" s="24"/>
      <c r="D680" s="24"/>
      <c r="E680" s="24"/>
      <c r="F680" s="24"/>
      <c r="G680" s="24"/>
      <c r="H680" s="48"/>
      <c r="I680" s="48"/>
    </row>
    <row r="681" ht="16.5" customHeight="1">
      <c r="B681" s="24"/>
      <c r="C681" s="24"/>
      <c r="D681" s="24"/>
      <c r="E681" s="24"/>
      <c r="F681" s="24"/>
      <c r="G681" s="24"/>
      <c r="H681" s="48"/>
      <c r="I681" s="48"/>
    </row>
    <row r="682" ht="16.5" customHeight="1">
      <c r="B682" s="24"/>
      <c r="C682" s="24"/>
      <c r="D682" s="24"/>
      <c r="E682" s="24"/>
      <c r="F682" s="24"/>
      <c r="G682" s="24"/>
      <c r="H682" s="48"/>
      <c r="I682" s="48"/>
    </row>
    <row r="683" ht="16.5" customHeight="1">
      <c r="B683" s="24"/>
      <c r="C683" s="24"/>
      <c r="D683" s="24"/>
      <c r="E683" s="24"/>
      <c r="F683" s="24"/>
      <c r="G683" s="24"/>
      <c r="H683" s="48"/>
      <c r="I683" s="48"/>
    </row>
    <row r="684" ht="16.5" customHeight="1">
      <c r="B684" s="24"/>
      <c r="C684" s="24"/>
      <c r="D684" s="24"/>
      <c r="E684" s="24"/>
      <c r="F684" s="24"/>
      <c r="G684" s="24"/>
      <c r="H684" s="48"/>
      <c r="I684" s="48"/>
    </row>
    <row r="685" ht="16.5" customHeight="1">
      <c r="B685" s="24"/>
      <c r="C685" s="24"/>
      <c r="D685" s="24"/>
      <c r="E685" s="24"/>
      <c r="F685" s="24"/>
      <c r="G685" s="24"/>
      <c r="H685" s="48"/>
      <c r="I685" s="48"/>
    </row>
    <row r="686" ht="16.5" customHeight="1">
      <c r="B686" s="24"/>
      <c r="C686" s="24"/>
      <c r="D686" s="24"/>
      <c r="E686" s="24"/>
      <c r="F686" s="24"/>
      <c r="G686" s="24"/>
      <c r="H686" s="48"/>
      <c r="I686" s="48"/>
    </row>
    <row r="687" ht="16.5" customHeight="1">
      <c r="B687" s="24"/>
      <c r="C687" s="24"/>
      <c r="D687" s="24"/>
      <c r="E687" s="24"/>
      <c r="F687" s="24"/>
      <c r="G687" s="24"/>
      <c r="H687" s="48"/>
      <c r="I687" s="48"/>
    </row>
    <row r="688" ht="16.5" customHeight="1">
      <c r="B688" s="24"/>
      <c r="C688" s="24"/>
      <c r="D688" s="24"/>
      <c r="E688" s="24"/>
      <c r="F688" s="24"/>
      <c r="G688" s="24"/>
      <c r="H688" s="48"/>
      <c r="I688" s="48"/>
    </row>
    <row r="689" ht="16.5" customHeight="1">
      <c r="B689" s="24"/>
      <c r="C689" s="24"/>
      <c r="D689" s="24"/>
      <c r="E689" s="24"/>
      <c r="F689" s="24"/>
      <c r="G689" s="24"/>
      <c r="H689" s="48"/>
      <c r="I689" s="48"/>
    </row>
    <row r="690" ht="16.5" customHeight="1">
      <c r="B690" s="24"/>
      <c r="C690" s="24"/>
      <c r="D690" s="24"/>
      <c r="E690" s="24"/>
      <c r="F690" s="24"/>
      <c r="G690" s="24"/>
      <c r="H690" s="48"/>
      <c r="I690" s="48"/>
    </row>
    <row r="691" ht="16.5" customHeight="1">
      <c r="B691" s="24"/>
      <c r="C691" s="24"/>
      <c r="D691" s="24"/>
      <c r="E691" s="24"/>
      <c r="F691" s="24"/>
      <c r="G691" s="24"/>
      <c r="H691" s="48"/>
      <c r="I691" s="48"/>
    </row>
    <row r="692" ht="16.5" customHeight="1">
      <c r="B692" s="24"/>
      <c r="C692" s="24"/>
      <c r="D692" s="24"/>
      <c r="E692" s="24"/>
      <c r="F692" s="24"/>
      <c r="G692" s="24"/>
      <c r="H692" s="48"/>
      <c r="I692" s="48"/>
    </row>
    <row r="693" ht="16.5" customHeight="1">
      <c r="B693" s="24"/>
      <c r="C693" s="24"/>
      <c r="D693" s="24"/>
      <c r="E693" s="24"/>
      <c r="F693" s="24"/>
      <c r="G693" s="24"/>
      <c r="H693" s="48"/>
      <c r="I693" s="48"/>
    </row>
    <row r="694" ht="16.5" customHeight="1">
      <c r="B694" s="24"/>
      <c r="C694" s="24"/>
      <c r="D694" s="24"/>
      <c r="E694" s="24"/>
      <c r="F694" s="24"/>
      <c r="G694" s="24"/>
      <c r="H694" s="48"/>
      <c r="I694" s="48"/>
    </row>
    <row r="695" ht="16.5" customHeight="1">
      <c r="B695" s="24"/>
      <c r="C695" s="24"/>
      <c r="D695" s="24"/>
      <c r="E695" s="24"/>
      <c r="F695" s="24"/>
      <c r="G695" s="24"/>
      <c r="H695" s="48"/>
      <c r="I695" s="48"/>
    </row>
    <row r="696" ht="16.5" customHeight="1">
      <c r="B696" s="24"/>
      <c r="C696" s="24"/>
      <c r="D696" s="24"/>
      <c r="E696" s="24"/>
      <c r="F696" s="24"/>
      <c r="G696" s="24"/>
      <c r="H696" s="48"/>
      <c r="I696" s="48"/>
    </row>
    <row r="697" ht="16.5" customHeight="1">
      <c r="B697" s="24"/>
      <c r="C697" s="24"/>
      <c r="D697" s="24"/>
      <c r="E697" s="24"/>
      <c r="F697" s="24"/>
      <c r="G697" s="24"/>
      <c r="H697" s="48"/>
      <c r="I697" s="48"/>
    </row>
    <row r="698" ht="16.5" customHeight="1">
      <c r="B698" s="24"/>
      <c r="C698" s="24"/>
      <c r="D698" s="24"/>
      <c r="E698" s="24"/>
      <c r="F698" s="24"/>
      <c r="G698" s="24"/>
      <c r="H698" s="48"/>
      <c r="I698" s="48"/>
    </row>
    <row r="699" ht="16.5" customHeight="1">
      <c r="B699" s="24"/>
      <c r="C699" s="24"/>
      <c r="D699" s="24"/>
      <c r="E699" s="24"/>
      <c r="F699" s="24"/>
      <c r="G699" s="24"/>
      <c r="H699" s="48"/>
      <c r="I699" s="48"/>
    </row>
    <row r="700" ht="16.5" customHeight="1">
      <c r="B700" s="24"/>
      <c r="C700" s="24"/>
      <c r="D700" s="24"/>
      <c r="E700" s="24"/>
      <c r="F700" s="24"/>
      <c r="G700" s="24"/>
      <c r="H700" s="48"/>
      <c r="I700" s="48"/>
    </row>
    <row r="701" ht="16.5" customHeight="1">
      <c r="B701" s="24"/>
      <c r="C701" s="24"/>
      <c r="D701" s="24"/>
      <c r="E701" s="24"/>
      <c r="F701" s="24"/>
      <c r="G701" s="24"/>
      <c r="H701" s="48"/>
      <c r="I701" s="48"/>
    </row>
    <row r="702" ht="16.5" customHeight="1">
      <c r="B702" s="24"/>
      <c r="C702" s="24"/>
      <c r="D702" s="24"/>
      <c r="E702" s="24"/>
      <c r="F702" s="24"/>
      <c r="G702" s="24"/>
      <c r="H702" s="48"/>
      <c r="I702" s="48"/>
    </row>
    <row r="703" ht="16.5" customHeight="1">
      <c r="B703" s="24"/>
      <c r="C703" s="24"/>
      <c r="D703" s="24"/>
      <c r="E703" s="24"/>
      <c r="F703" s="24"/>
      <c r="G703" s="24"/>
      <c r="H703" s="48"/>
      <c r="I703" s="48"/>
    </row>
    <row r="704" ht="16.5" customHeight="1">
      <c r="B704" s="24"/>
      <c r="C704" s="24"/>
      <c r="D704" s="24"/>
      <c r="E704" s="24"/>
      <c r="F704" s="24"/>
      <c r="G704" s="24"/>
      <c r="H704" s="48"/>
      <c r="I704" s="48"/>
    </row>
    <row r="705" ht="16.5" customHeight="1">
      <c r="B705" s="24"/>
      <c r="C705" s="24"/>
      <c r="D705" s="24"/>
      <c r="E705" s="24"/>
      <c r="F705" s="24"/>
      <c r="G705" s="24"/>
      <c r="H705" s="48"/>
      <c r="I705" s="48"/>
    </row>
    <row r="706" ht="16.5" customHeight="1">
      <c r="B706" s="24"/>
      <c r="C706" s="24"/>
      <c r="D706" s="24"/>
      <c r="E706" s="24"/>
      <c r="F706" s="24"/>
      <c r="G706" s="24"/>
      <c r="H706" s="48"/>
      <c r="I706" s="48"/>
    </row>
    <row r="707" ht="16.5" customHeight="1">
      <c r="B707" s="24"/>
      <c r="C707" s="24"/>
      <c r="D707" s="24"/>
      <c r="E707" s="24"/>
      <c r="F707" s="24"/>
      <c r="G707" s="24"/>
      <c r="H707" s="48"/>
      <c r="I707" s="48"/>
    </row>
    <row r="708" ht="16.5" customHeight="1">
      <c r="B708" s="24"/>
      <c r="C708" s="24"/>
      <c r="D708" s="24"/>
      <c r="E708" s="24"/>
      <c r="F708" s="24"/>
      <c r="G708" s="24"/>
      <c r="H708" s="48"/>
      <c r="I708" s="48"/>
    </row>
    <row r="709" ht="16.5" customHeight="1">
      <c r="B709" s="24"/>
      <c r="C709" s="24"/>
      <c r="D709" s="24"/>
      <c r="E709" s="24"/>
      <c r="F709" s="24"/>
      <c r="G709" s="24"/>
      <c r="H709" s="48"/>
      <c r="I709" s="48"/>
    </row>
    <row r="710" ht="16.5" customHeight="1">
      <c r="B710" s="24"/>
      <c r="C710" s="24"/>
      <c r="D710" s="24"/>
      <c r="E710" s="24"/>
      <c r="F710" s="24"/>
      <c r="G710" s="24"/>
      <c r="H710" s="48"/>
      <c r="I710" s="48"/>
    </row>
    <row r="711" ht="16.5" customHeight="1">
      <c r="B711" s="24"/>
      <c r="C711" s="24"/>
      <c r="D711" s="24"/>
      <c r="E711" s="24"/>
      <c r="F711" s="24"/>
      <c r="G711" s="24"/>
      <c r="H711" s="48"/>
      <c r="I711" s="48"/>
    </row>
    <row r="712" ht="16.5" customHeight="1">
      <c r="B712" s="24"/>
      <c r="C712" s="24"/>
      <c r="D712" s="24"/>
      <c r="E712" s="24"/>
      <c r="F712" s="24"/>
      <c r="G712" s="24"/>
      <c r="H712" s="48"/>
      <c r="I712" s="48"/>
    </row>
    <row r="713" ht="16.5" customHeight="1">
      <c r="B713" s="24"/>
      <c r="C713" s="24"/>
      <c r="D713" s="24"/>
      <c r="E713" s="24"/>
      <c r="F713" s="24"/>
      <c r="G713" s="24"/>
      <c r="H713" s="48"/>
      <c r="I713" s="48"/>
    </row>
    <row r="714" ht="16.5" customHeight="1">
      <c r="B714" s="24"/>
      <c r="C714" s="24"/>
      <c r="D714" s="24"/>
      <c r="E714" s="24"/>
      <c r="F714" s="24"/>
      <c r="G714" s="24"/>
      <c r="H714" s="48"/>
      <c r="I714" s="48"/>
    </row>
    <row r="715" ht="16.5" customHeight="1">
      <c r="B715" s="24"/>
      <c r="C715" s="24"/>
      <c r="D715" s="24"/>
      <c r="E715" s="24"/>
      <c r="F715" s="24"/>
      <c r="G715" s="24"/>
      <c r="H715" s="48"/>
      <c r="I715" s="48"/>
    </row>
    <row r="716" ht="16.5" customHeight="1">
      <c r="B716" s="24"/>
      <c r="C716" s="24"/>
      <c r="D716" s="24"/>
      <c r="E716" s="24"/>
      <c r="F716" s="24"/>
      <c r="G716" s="24"/>
      <c r="H716" s="48"/>
      <c r="I716" s="48"/>
    </row>
    <row r="717" ht="16.5" customHeight="1">
      <c r="B717" s="24"/>
      <c r="C717" s="24"/>
      <c r="D717" s="24"/>
      <c r="E717" s="24"/>
      <c r="F717" s="24"/>
      <c r="G717" s="24"/>
      <c r="H717" s="48"/>
      <c r="I717" s="48"/>
    </row>
    <row r="718" ht="16.5" customHeight="1">
      <c r="B718" s="24"/>
      <c r="C718" s="24"/>
      <c r="D718" s="24"/>
      <c r="E718" s="24"/>
      <c r="F718" s="24"/>
      <c r="G718" s="24"/>
      <c r="H718" s="48"/>
      <c r="I718" s="48"/>
    </row>
    <row r="719" ht="16.5" customHeight="1">
      <c r="B719" s="24"/>
      <c r="C719" s="24"/>
      <c r="D719" s="24"/>
      <c r="E719" s="24"/>
      <c r="F719" s="24"/>
      <c r="G719" s="24"/>
      <c r="H719" s="48"/>
      <c r="I719" s="48"/>
    </row>
    <row r="720" ht="16.5" customHeight="1">
      <c r="B720" s="24"/>
      <c r="C720" s="24"/>
      <c r="D720" s="24"/>
      <c r="E720" s="24"/>
      <c r="F720" s="24"/>
      <c r="G720" s="24"/>
      <c r="H720" s="48"/>
      <c r="I720" s="48"/>
    </row>
    <row r="721" ht="16.5" customHeight="1">
      <c r="B721" s="24"/>
      <c r="C721" s="24"/>
      <c r="D721" s="24"/>
      <c r="E721" s="24"/>
      <c r="F721" s="24"/>
      <c r="G721" s="24"/>
      <c r="H721" s="48"/>
      <c r="I721" s="48"/>
    </row>
    <row r="722" ht="16.5" customHeight="1">
      <c r="B722" s="24"/>
      <c r="C722" s="24"/>
      <c r="D722" s="24"/>
      <c r="E722" s="24"/>
      <c r="F722" s="24"/>
      <c r="G722" s="24"/>
      <c r="H722" s="48"/>
      <c r="I722" s="48"/>
    </row>
    <row r="723" ht="16.5" customHeight="1">
      <c r="B723" s="24"/>
      <c r="C723" s="24"/>
      <c r="D723" s="24"/>
      <c r="E723" s="24"/>
      <c r="F723" s="24"/>
      <c r="G723" s="24"/>
      <c r="H723" s="48"/>
      <c r="I723" s="48"/>
    </row>
    <row r="724" ht="16.5" customHeight="1">
      <c r="B724" s="24"/>
      <c r="C724" s="24"/>
      <c r="D724" s="24"/>
      <c r="E724" s="24"/>
      <c r="F724" s="24"/>
      <c r="G724" s="24"/>
      <c r="H724" s="48"/>
      <c r="I724" s="48"/>
    </row>
    <row r="725" ht="16.5" customHeight="1">
      <c r="B725" s="24"/>
      <c r="C725" s="24"/>
      <c r="D725" s="24"/>
      <c r="E725" s="24"/>
      <c r="F725" s="24"/>
      <c r="G725" s="24"/>
      <c r="H725" s="48"/>
      <c r="I725" s="48"/>
    </row>
    <row r="726" ht="16.5" customHeight="1">
      <c r="B726" s="24"/>
      <c r="C726" s="24"/>
      <c r="D726" s="24"/>
      <c r="E726" s="24"/>
      <c r="F726" s="24"/>
      <c r="G726" s="24"/>
      <c r="H726" s="48"/>
      <c r="I726" s="48"/>
    </row>
    <row r="727" ht="16.5" customHeight="1">
      <c r="B727" s="24"/>
      <c r="C727" s="24"/>
      <c r="D727" s="24"/>
      <c r="E727" s="24"/>
      <c r="F727" s="24"/>
      <c r="G727" s="24"/>
      <c r="H727" s="48"/>
      <c r="I727" s="48"/>
    </row>
    <row r="728" ht="16.5" customHeight="1">
      <c r="B728" s="24"/>
      <c r="C728" s="24"/>
      <c r="D728" s="24"/>
      <c r="E728" s="24"/>
      <c r="F728" s="24"/>
      <c r="G728" s="24"/>
      <c r="H728" s="48"/>
      <c r="I728" s="48"/>
    </row>
    <row r="729" ht="16.5" customHeight="1">
      <c r="B729" s="24"/>
      <c r="C729" s="24"/>
      <c r="D729" s="24"/>
      <c r="E729" s="24"/>
      <c r="F729" s="24"/>
      <c r="G729" s="24"/>
      <c r="H729" s="48"/>
      <c r="I729" s="48"/>
    </row>
    <row r="730" ht="16.5" customHeight="1">
      <c r="B730" s="24"/>
      <c r="C730" s="24"/>
      <c r="D730" s="24"/>
      <c r="E730" s="24"/>
      <c r="F730" s="24"/>
      <c r="G730" s="24"/>
      <c r="H730" s="48"/>
      <c r="I730" s="48"/>
    </row>
    <row r="731" ht="16.5" customHeight="1">
      <c r="B731" s="24"/>
      <c r="C731" s="24"/>
      <c r="D731" s="24"/>
      <c r="E731" s="24"/>
      <c r="F731" s="24"/>
      <c r="G731" s="24"/>
      <c r="H731" s="48"/>
      <c r="I731" s="48"/>
    </row>
    <row r="732" ht="16.5" customHeight="1">
      <c r="B732" s="24"/>
      <c r="C732" s="24"/>
      <c r="D732" s="24"/>
      <c r="E732" s="24"/>
      <c r="F732" s="24"/>
      <c r="G732" s="24"/>
      <c r="H732" s="48"/>
      <c r="I732" s="48"/>
    </row>
    <row r="733" ht="16.5" customHeight="1">
      <c r="B733" s="24"/>
      <c r="C733" s="24"/>
      <c r="D733" s="24"/>
      <c r="E733" s="24"/>
      <c r="F733" s="24"/>
      <c r="G733" s="24"/>
      <c r="H733" s="48"/>
      <c r="I733" s="48"/>
    </row>
    <row r="734" ht="16.5" customHeight="1">
      <c r="B734" s="24"/>
      <c r="C734" s="24"/>
      <c r="D734" s="24"/>
      <c r="E734" s="24"/>
      <c r="F734" s="24"/>
      <c r="G734" s="24"/>
      <c r="H734" s="48"/>
      <c r="I734" s="48"/>
    </row>
    <row r="735" ht="16.5" customHeight="1">
      <c r="B735" s="24"/>
      <c r="C735" s="24"/>
      <c r="D735" s="24"/>
      <c r="E735" s="24"/>
      <c r="F735" s="24"/>
      <c r="G735" s="24"/>
      <c r="H735" s="48"/>
      <c r="I735" s="48"/>
    </row>
    <row r="736" ht="16.5" customHeight="1">
      <c r="B736" s="24"/>
      <c r="C736" s="24"/>
      <c r="D736" s="24"/>
      <c r="E736" s="24"/>
      <c r="F736" s="24"/>
      <c r="G736" s="24"/>
      <c r="H736" s="48"/>
      <c r="I736" s="48"/>
    </row>
    <row r="737" ht="16.5" customHeight="1">
      <c r="B737" s="24"/>
      <c r="C737" s="24"/>
      <c r="D737" s="24"/>
      <c r="E737" s="24"/>
      <c r="F737" s="24"/>
      <c r="G737" s="24"/>
      <c r="H737" s="48"/>
      <c r="I737" s="48"/>
    </row>
    <row r="738" ht="16.5" customHeight="1">
      <c r="B738" s="24"/>
      <c r="C738" s="24"/>
      <c r="D738" s="24"/>
      <c r="E738" s="24"/>
      <c r="F738" s="24"/>
      <c r="G738" s="24"/>
      <c r="H738" s="48"/>
      <c r="I738" s="48"/>
    </row>
    <row r="739" ht="16.5" customHeight="1">
      <c r="B739" s="24"/>
      <c r="C739" s="24"/>
      <c r="D739" s="24"/>
      <c r="E739" s="24"/>
      <c r="F739" s="24"/>
      <c r="G739" s="24"/>
      <c r="H739" s="48"/>
      <c r="I739" s="48"/>
    </row>
    <row r="740" ht="16.5" customHeight="1">
      <c r="B740" s="24"/>
      <c r="C740" s="24"/>
      <c r="D740" s="24"/>
      <c r="E740" s="24"/>
      <c r="F740" s="24"/>
      <c r="G740" s="24"/>
      <c r="H740" s="48"/>
      <c r="I740" s="48"/>
    </row>
    <row r="741" ht="16.5" customHeight="1">
      <c r="B741" s="24"/>
      <c r="C741" s="24"/>
      <c r="D741" s="24"/>
      <c r="E741" s="24"/>
      <c r="F741" s="24"/>
      <c r="G741" s="24"/>
      <c r="H741" s="48"/>
      <c r="I741" s="48"/>
    </row>
    <row r="742" ht="16.5" customHeight="1">
      <c r="B742" s="24"/>
      <c r="C742" s="24"/>
      <c r="D742" s="24"/>
      <c r="E742" s="24"/>
      <c r="F742" s="24"/>
      <c r="G742" s="24"/>
      <c r="H742" s="48"/>
      <c r="I742" s="48"/>
    </row>
    <row r="743" ht="16.5" customHeight="1">
      <c r="B743" s="24"/>
      <c r="C743" s="24"/>
      <c r="D743" s="24"/>
      <c r="E743" s="24"/>
      <c r="F743" s="24"/>
      <c r="G743" s="24"/>
      <c r="H743" s="48"/>
      <c r="I743" s="48"/>
    </row>
    <row r="744" ht="16.5" customHeight="1">
      <c r="B744" s="24"/>
      <c r="C744" s="24"/>
      <c r="D744" s="24"/>
      <c r="E744" s="24"/>
      <c r="F744" s="24"/>
      <c r="G744" s="24"/>
      <c r="H744" s="48"/>
      <c r="I744" s="48"/>
    </row>
    <row r="745" ht="16.5" customHeight="1">
      <c r="B745" s="24"/>
      <c r="C745" s="24"/>
      <c r="D745" s="24"/>
      <c r="E745" s="24"/>
      <c r="F745" s="24"/>
      <c r="G745" s="24"/>
      <c r="H745" s="48"/>
      <c r="I745" s="48"/>
    </row>
    <row r="746" ht="16.5" customHeight="1">
      <c r="B746" s="24"/>
      <c r="C746" s="24"/>
      <c r="D746" s="24"/>
      <c r="E746" s="24"/>
      <c r="F746" s="24"/>
      <c r="G746" s="24"/>
      <c r="H746" s="48"/>
      <c r="I746" s="48"/>
    </row>
    <row r="747" ht="16.5" customHeight="1">
      <c r="B747" s="24"/>
      <c r="C747" s="24"/>
      <c r="D747" s="24"/>
      <c r="E747" s="24"/>
      <c r="F747" s="24"/>
      <c r="G747" s="24"/>
      <c r="H747" s="48"/>
      <c r="I747" s="48"/>
    </row>
    <row r="748" ht="16.5" customHeight="1">
      <c r="B748" s="24"/>
      <c r="C748" s="24"/>
      <c r="D748" s="24"/>
      <c r="E748" s="24"/>
      <c r="F748" s="24"/>
      <c r="G748" s="24"/>
      <c r="H748" s="48"/>
      <c r="I748" s="48"/>
    </row>
    <row r="749" ht="16.5" customHeight="1">
      <c r="B749" s="24"/>
      <c r="C749" s="24"/>
      <c r="D749" s="24"/>
      <c r="E749" s="24"/>
      <c r="F749" s="24"/>
      <c r="G749" s="24"/>
      <c r="H749" s="48"/>
      <c r="I749" s="48"/>
    </row>
    <row r="750" ht="16.5" customHeight="1">
      <c r="B750" s="24"/>
      <c r="C750" s="24"/>
      <c r="D750" s="24"/>
      <c r="E750" s="24"/>
      <c r="F750" s="24"/>
      <c r="G750" s="24"/>
      <c r="H750" s="48"/>
      <c r="I750" s="48"/>
    </row>
    <row r="751" ht="16.5" customHeight="1">
      <c r="B751" s="24"/>
      <c r="C751" s="24"/>
      <c r="D751" s="24"/>
      <c r="E751" s="24"/>
      <c r="F751" s="24"/>
      <c r="G751" s="24"/>
      <c r="H751" s="48"/>
      <c r="I751" s="48"/>
    </row>
    <row r="752" ht="16.5" customHeight="1">
      <c r="B752" s="24"/>
      <c r="C752" s="24"/>
      <c r="D752" s="24"/>
      <c r="E752" s="24"/>
      <c r="F752" s="24"/>
      <c r="G752" s="24"/>
      <c r="H752" s="48"/>
      <c r="I752" s="48"/>
    </row>
    <row r="753" ht="16.5" customHeight="1">
      <c r="B753" s="24"/>
      <c r="C753" s="24"/>
      <c r="D753" s="24"/>
      <c r="E753" s="24"/>
      <c r="F753" s="24"/>
      <c r="G753" s="24"/>
      <c r="H753" s="48"/>
      <c r="I753" s="48"/>
    </row>
    <row r="754" ht="16.5" customHeight="1">
      <c r="B754" s="24"/>
      <c r="C754" s="24"/>
      <c r="D754" s="24"/>
      <c r="E754" s="24"/>
      <c r="F754" s="24"/>
      <c r="G754" s="24"/>
      <c r="H754" s="48"/>
      <c r="I754" s="48"/>
    </row>
    <row r="755" ht="16.5" customHeight="1">
      <c r="B755" s="24"/>
      <c r="C755" s="24"/>
      <c r="D755" s="24"/>
      <c r="E755" s="24"/>
      <c r="F755" s="24"/>
      <c r="G755" s="24"/>
      <c r="H755" s="48"/>
      <c r="I755" s="48"/>
    </row>
    <row r="756" ht="16.5" customHeight="1">
      <c r="B756" s="24"/>
      <c r="C756" s="24"/>
      <c r="D756" s="24"/>
      <c r="E756" s="24"/>
      <c r="F756" s="24"/>
      <c r="G756" s="24"/>
      <c r="H756" s="48"/>
      <c r="I756" s="48"/>
    </row>
    <row r="757" ht="16.5" customHeight="1">
      <c r="B757" s="24"/>
      <c r="C757" s="24"/>
      <c r="D757" s="24"/>
      <c r="E757" s="24"/>
      <c r="F757" s="24"/>
      <c r="G757" s="24"/>
      <c r="H757" s="48"/>
      <c r="I757" s="48"/>
    </row>
    <row r="758" ht="16.5" customHeight="1">
      <c r="B758" s="24"/>
      <c r="C758" s="24"/>
      <c r="D758" s="24"/>
      <c r="E758" s="24"/>
      <c r="F758" s="24"/>
      <c r="G758" s="24"/>
      <c r="H758" s="48"/>
      <c r="I758" s="48"/>
    </row>
    <row r="759" ht="16.5" customHeight="1">
      <c r="B759" s="24"/>
      <c r="C759" s="24"/>
      <c r="D759" s="24"/>
      <c r="E759" s="24"/>
      <c r="F759" s="24"/>
      <c r="G759" s="24"/>
      <c r="H759" s="48"/>
      <c r="I759" s="48"/>
    </row>
    <row r="760" ht="16.5" customHeight="1">
      <c r="B760" s="24"/>
      <c r="C760" s="24"/>
      <c r="D760" s="24"/>
      <c r="E760" s="24"/>
      <c r="F760" s="24"/>
      <c r="G760" s="24"/>
      <c r="H760" s="48"/>
      <c r="I760" s="48"/>
    </row>
    <row r="761" ht="16.5" customHeight="1">
      <c r="B761" s="24"/>
      <c r="C761" s="24"/>
      <c r="D761" s="24"/>
      <c r="E761" s="24"/>
      <c r="F761" s="24"/>
      <c r="G761" s="24"/>
      <c r="H761" s="48"/>
      <c r="I761" s="48"/>
    </row>
    <row r="762" ht="16.5" customHeight="1">
      <c r="B762" s="24"/>
      <c r="C762" s="24"/>
      <c r="D762" s="24"/>
      <c r="E762" s="24"/>
      <c r="F762" s="24"/>
      <c r="G762" s="24"/>
      <c r="H762" s="48"/>
      <c r="I762" s="48"/>
    </row>
    <row r="763" ht="16.5" customHeight="1">
      <c r="B763" s="24"/>
      <c r="C763" s="24"/>
      <c r="D763" s="24"/>
      <c r="E763" s="24"/>
      <c r="F763" s="24"/>
      <c r="G763" s="24"/>
      <c r="H763" s="48"/>
      <c r="I763" s="48"/>
    </row>
    <row r="764" ht="16.5" customHeight="1">
      <c r="B764" s="24"/>
      <c r="C764" s="24"/>
      <c r="D764" s="24"/>
      <c r="E764" s="24"/>
      <c r="F764" s="24"/>
      <c r="G764" s="24"/>
      <c r="H764" s="48"/>
      <c r="I764" s="48"/>
    </row>
    <row r="765" ht="16.5" customHeight="1">
      <c r="B765" s="24"/>
      <c r="C765" s="24"/>
      <c r="D765" s="24"/>
      <c r="E765" s="24"/>
      <c r="F765" s="24"/>
      <c r="G765" s="24"/>
      <c r="H765" s="48"/>
      <c r="I765" s="48"/>
    </row>
    <row r="766" ht="16.5" customHeight="1">
      <c r="B766" s="24"/>
      <c r="C766" s="24"/>
      <c r="D766" s="24"/>
      <c r="E766" s="24"/>
      <c r="F766" s="24"/>
      <c r="G766" s="24"/>
      <c r="H766" s="48"/>
      <c r="I766" s="48"/>
    </row>
    <row r="767" ht="16.5" customHeight="1">
      <c r="B767" s="24"/>
      <c r="C767" s="24"/>
      <c r="D767" s="24"/>
      <c r="E767" s="24"/>
      <c r="F767" s="24"/>
      <c r="G767" s="24"/>
      <c r="H767" s="48"/>
      <c r="I767" s="48"/>
    </row>
    <row r="768" ht="16.5" customHeight="1">
      <c r="B768" s="24"/>
      <c r="C768" s="24"/>
      <c r="D768" s="24"/>
      <c r="E768" s="24"/>
      <c r="F768" s="24"/>
      <c r="G768" s="24"/>
      <c r="H768" s="48"/>
      <c r="I768" s="48"/>
    </row>
    <row r="769" ht="16.5" customHeight="1">
      <c r="B769" s="24"/>
      <c r="C769" s="24"/>
      <c r="D769" s="24"/>
      <c r="E769" s="24"/>
      <c r="F769" s="24"/>
      <c r="G769" s="24"/>
      <c r="H769" s="48"/>
      <c r="I769" s="48"/>
    </row>
    <row r="770" ht="16.5" customHeight="1">
      <c r="B770" s="24"/>
      <c r="C770" s="24"/>
      <c r="D770" s="24"/>
      <c r="E770" s="24"/>
      <c r="F770" s="24"/>
      <c r="G770" s="24"/>
      <c r="H770" s="48"/>
      <c r="I770" s="48"/>
    </row>
    <row r="771" ht="16.5" customHeight="1">
      <c r="B771" s="24"/>
      <c r="C771" s="24"/>
      <c r="D771" s="24"/>
      <c r="E771" s="24"/>
      <c r="F771" s="24"/>
      <c r="G771" s="24"/>
      <c r="H771" s="48"/>
      <c r="I771" s="48"/>
    </row>
    <row r="772" ht="16.5" customHeight="1">
      <c r="B772" s="24"/>
      <c r="C772" s="24"/>
      <c r="D772" s="24"/>
      <c r="E772" s="24"/>
      <c r="F772" s="24"/>
      <c r="G772" s="24"/>
      <c r="H772" s="48"/>
      <c r="I772" s="48"/>
    </row>
    <row r="773" ht="16.5" customHeight="1">
      <c r="B773" s="24"/>
      <c r="C773" s="24"/>
      <c r="D773" s="24"/>
      <c r="E773" s="24"/>
      <c r="F773" s="24"/>
      <c r="G773" s="24"/>
      <c r="H773" s="48"/>
      <c r="I773" s="48"/>
    </row>
    <row r="774" ht="16.5" customHeight="1">
      <c r="B774" s="24"/>
      <c r="C774" s="24"/>
      <c r="D774" s="24"/>
      <c r="E774" s="24"/>
      <c r="F774" s="24"/>
      <c r="G774" s="24"/>
      <c r="H774" s="48"/>
      <c r="I774" s="48"/>
    </row>
    <row r="775" ht="16.5" customHeight="1">
      <c r="B775" s="24"/>
      <c r="C775" s="24"/>
      <c r="D775" s="24"/>
      <c r="E775" s="24"/>
      <c r="F775" s="24"/>
      <c r="G775" s="24"/>
      <c r="H775" s="48"/>
      <c r="I775" s="48"/>
    </row>
    <row r="776" ht="16.5" customHeight="1">
      <c r="B776" s="24"/>
      <c r="C776" s="24"/>
      <c r="D776" s="24"/>
      <c r="E776" s="24"/>
      <c r="F776" s="24"/>
      <c r="G776" s="24"/>
      <c r="H776" s="48"/>
      <c r="I776" s="48"/>
    </row>
    <row r="777" ht="16.5" customHeight="1">
      <c r="B777" s="24"/>
      <c r="C777" s="24"/>
      <c r="D777" s="24"/>
      <c r="E777" s="24"/>
      <c r="F777" s="24"/>
      <c r="G777" s="24"/>
      <c r="H777" s="48"/>
      <c r="I777" s="48"/>
    </row>
    <row r="778" ht="16.5" customHeight="1">
      <c r="B778" s="24"/>
      <c r="C778" s="24"/>
      <c r="D778" s="24"/>
      <c r="E778" s="24"/>
      <c r="F778" s="24"/>
      <c r="G778" s="24"/>
      <c r="H778" s="48"/>
      <c r="I778" s="48"/>
    </row>
    <row r="779" ht="16.5" customHeight="1">
      <c r="B779" s="24"/>
      <c r="C779" s="24"/>
      <c r="D779" s="24"/>
      <c r="E779" s="24"/>
      <c r="F779" s="24"/>
      <c r="G779" s="24"/>
      <c r="H779" s="48"/>
      <c r="I779" s="48"/>
    </row>
    <row r="780" ht="16.5" customHeight="1">
      <c r="B780" s="24"/>
      <c r="C780" s="24"/>
      <c r="D780" s="24"/>
      <c r="E780" s="24"/>
      <c r="F780" s="24"/>
      <c r="G780" s="24"/>
      <c r="H780" s="48"/>
      <c r="I780" s="48"/>
    </row>
    <row r="781" ht="16.5" customHeight="1">
      <c r="B781" s="24"/>
      <c r="C781" s="24"/>
      <c r="D781" s="24"/>
      <c r="E781" s="24"/>
      <c r="F781" s="24"/>
      <c r="G781" s="24"/>
      <c r="H781" s="48"/>
      <c r="I781" s="48"/>
    </row>
    <row r="782" ht="16.5" customHeight="1">
      <c r="B782" s="24"/>
      <c r="C782" s="24"/>
      <c r="D782" s="24"/>
      <c r="E782" s="24"/>
      <c r="F782" s="24"/>
      <c r="G782" s="24"/>
      <c r="H782" s="48"/>
      <c r="I782" s="48"/>
    </row>
    <row r="783" ht="16.5" customHeight="1">
      <c r="B783" s="24"/>
      <c r="C783" s="24"/>
      <c r="D783" s="24"/>
      <c r="E783" s="24"/>
      <c r="F783" s="24"/>
      <c r="G783" s="24"/>
      <c r="H783" s="48"/>
      <c r="I783" s="48"/>
    </row>
    <row r="784" ht="16.5" customHeight="1">
      <c r="B784" s="24"/>
      <c r="C784" s="24"/>
      <c r="D784" s="24"/>
      <c r="E784" s="24"/>
      <c r="F784" s="24"/>
      <c r="G784" s="24"/>
      <c r="H784" s="48"/>
      <c r="I784" s="48"/>
    </row>
    <row r="785" ht="16.5" customHeight="1">
      <c r="B785" s="24"/>
      <c r="C785" s="24"/>
      <c r="D785" s="24"/>
      <c r="E785" s="24"/>
      <c r="F785" s="24"/>
      <c r="G785" s="24"/>
      <c r="H785" s="48"/>
      <c r="I785" s="48"/>
    </row>
    <row r="786" ht="16.5" customHeight="1">
      <c r="B786" s="24"/>
      <c r="C786" s="24"/>
      <c r="D786" s="24"/>
      <c r="E786" s="24"/>
      <c r="F786" s="24"/>
      <c r="G786" s="24"/>
      <c r="H786" s="48"/>
      <c r="I786" s="48"/>
    </row>
    <row r="787" ht="16.5" customHeight="1">
      <c r="B787" s="24"/>
      <c r="C787" s="24"/>
      <c r="D787" s="24"/>
      <c r="E787" s="24"/>
      <c r="F787" s="24"/>
      <c r="G787" s="24"/>
      <c r="H787" s="48"/>
      <c r="I787" s="48"/>
    </row>
    <row r="788" ht="16.5" customHeight="1">
      <c r="B788" s="24"/>
      <c r="C788" s="24"/>
      <c r="D788" s="24"/>
      <c r="E788" s="24"/>
      <c r="F788" s="24"/>
      <c r="G788" s="24"/>
      <c r="H788" s="48"/>
      <c r="I788" s="48"/>
    </row>
    <row r="789" ht="16.5" customHeight="1">
      <c r="B789" s="24"/>
      <c r="C789" s="24"/>
      <c r="D789" s="24"/>
      <c r="E789" s="24"/>
      <c r="F789" s="24"/>
      <c r="G789" s="24"/>
      <c r="H789" s="48"/>
      <c r="I789" s="48"/>
    </row>
    <row r="790" ht="16.5" customHeight="1">
      <c r="B790" s="24"/>
      <c r="C790" s="24"/>
      <c r="D790" s="24"/>
      <c r="E790" s="24"/>
      <c r="F790" s="24"/>
      <c r="G790" s="24"/>
      <c r="H790" s="48"/>
      <c r="I790" s="48"/>
    </row>
    <row r="791" ht="16.5" customHeight="1">
      <c r="B791" s="24"/>
      <c r="C791" s="24"/>
      <c r="D791" s="24"/>
      <c r="E791" s="24"/>
      <c r="F791" s="24"/>
      <c r="G791" s="24"/>
      <c r="H791" s="48"/>
      <c r="I791" s="48"/>
    </row>
    <row r="792" ht="16.5" customHeight="1">
      <c r="B792" s="24"/>
      <c r="C792" s="24"/>
      <c r="D792" s="24"/>
      <c r="E792" s="24"/>
      <c r="F792" s="24"/>
      <c r="G792" s="24"/>
      <c r="H792" s="48"/>
      <c r="I792" s="48"/>
    </row>
    <row r="793" ht="16.5" customHeight="1">
      <c r="B793" s="24"/>
      <c r="C793" s="24"/>
      <c r="D793" s="24"/>
      <c r="E793" s="24"/>
      <c r="F793" s="24"/>
      <c r="G793" s="24"/>
      <c r="H793" s="48"/>
      <c r="I793" s="48"/>
    </row>
    <row r="794" ht="16.5" customHeight="1">
      <c r="B794" s="24"/>
      <c r="C794" s="24"/>
      <c r="D794" s="24"/>
      <c r="E794" s="24"/>
      <c r="F794" s="24"/>
      <c r="G794" s="24"/>
      <c r="H794" s="48"/>
      <c r="I794" s="48"/>
    </row>
    <row r="795" ht="16.5" customHeight="1">
      <c r="B795" s="24"/>
      <c r="C795" s="24"/>
      <c r="D795" s="24"/>
      <c r="E795" s="24"/>
      <c r="F795" s="24"/>
      <c r="G795" s="24"/>
      <c r="H795" s="48"/>
      <c r="I795" s="48"/>
    </row>
    <row r="796" ht="16.5" customHeight="1">
      <c r="B796" s="24"/>
      <c r="C796" s="24"/>
      <c r="D796" s="24"/>
      <c r="E796" s="24"/>
      <c r="F796" s="24"/>
      <c r="G796" s="24"/>
      <c r="H796" s="48"/>
      <c r="I796" s="48"/>
    </row>
    <row r="797" ht="16.5" customHeight="1">
      <c r="B797" s="24"/>
      <c r="C797" s="24"/>
      <c r="D797" s="24"/>
      <c r="E797" s="24"/>
      <c r="F797" s="24"/>
      <c r="G797" s="24"/>
      <c r="H797" s="48"/>
      <c r="I797" s="48"/>
    </row>
    <row r="798" ht="16.5" customHeight="1">
      <c r="B798" s="24"/>
      <c r="C798" s="24"/>
      <c r="D798" s="24"/>
      <c r="E798" s="24"/>
      <c r="F798" s="24"/>
      <c r="G798" s="24"/>
      <c r="H798" s="48"/>
      <c r="I798" s="48"/>
    </row>
    <row r="799" ht="16.5" customHeight="1">
      <c r="B799" s="24"/>
      <c r="C799" s="24"/>
      <c r="D799" s="24"/>
      <c r="E799" s="24"/>
      <c r="F799" s="24"/>
      <c r="G799" s="24"/>
      <c r="H799" s="48"/>
      <c r="I799" s="48"/>
    </row>
    <row r="800" ht="16.5" customHeight="1">
      <c r="B800" s="24"/>
      <c r="C800" s="24"/>
      <c r="D800" s="24"/>
      <c r="E800" s="24"/>
      <c r="F800" s="24"/>
      <c r="G800" s="24"/>
      <c r="H800" s="48"/>
      <c r="I800" s="48"/>
    </row>
    <row r="801" ht="16.5" customHeight="1">
      <c r="B801" s="24"/>
      <c r="C801" s="24"/>
      <c r="D801" s="24"/>
      <c r="E801" s="24"/>
      <c r="F801" s="24"/>
      <c r="G801" s="24"/>
      <c r="H801" s="48"/>
      <c r="I801" s="48"/>
    </row>
    <row r="802" ht="16.5" customHeight="1">
      <c r="B802" s="24"/>
      <c r="C802" s="24"/>
      <c r="D802" s="24"/>
      <c r="E802" s="24"/>
      <c r="F802" s="24"/>
      <c r="G802" s="24"/>
      <c r="H802" s="48"/>
      <c r="I802" s="48"/>
    </row>
    <row r="803" ht="16.5" customHeight="1">
      <c r="B803" s="24"/>
      <c r="C803" s="24"/>
      <c r="D803" s="24"/>
      <c r="E803" s="24"/>
      <c r="F803" s="24"/>
      <c r="G803" s="24"/>
      <c r="H803" s="48"/>
      <c r="I803" s="48"/>
    </row>
    <row r="804" ht="16.5" customHeight="1">
      <c r="B804" s="24"/>
      <c r="C804" s="24"/>
      <c r="D804" s="24"/>
      <c r="E804" s="24"/>
      <c r="F804" s="24"/>
      <c r="G804" s="24"/>
      <c r="H804" s="48"/>
      <c r="I804" s="48"/>
    </row>
    <row r="805" ht="16.5" customHeight="1">
      <c r="B805" s="24"/>
      <c r="C805" s="24"/>
      <c r="D805" s="24"/>
      <c r="E805" s="24"/>
      <c r="F805" s="24"/>
      <c r="G805" s="24"/>
      <c r="H805" s="48"/>
      <c r="I805" s="48"/>
    </row>
    <row r="806" ht="16.5" customHeight="1">
      <c r="B806" s="24"/>
      <c r="C806" s="24"/>
      <c r="D806" s="24"/>
      <c r="E806" s="24"/>
      <c r="F806" s="24"/>
      <c r="G806" s="24"/>
      <c r="H806" s="48"/>
      <c r="I806" s="48"/>
    </row>
    <row r="807" ht="16.5" customHeight="1">
      <c r="B807" s="24"/>
      <c r="C807" s="24"/>
      <c r="D807" s="24"/>
      <c r="E807" s="24"/>
      <c r="F807" s="24"/>
      <c r="G807" s="24"/>
      <c r="H807" s="48"/>
      <c r="I807" s="48"/>
    </row>
    <row r="808" ht="16.5" customHeight="1">
      <c r="B808" s="24"/>
      <c r="C808" s="24"/>
      <c r="D808" s="24"/>
      <c r="E808" s="24"/>
      <c r="F808" s="24"/>
      <c r="G808" s="24"/>
      <c r="H808" s="48"/>
      <c r="I808" s="48"/>
    </row>
    <row r="809" ht="16.5" customHeight="1">
      <c r="B809" s="24"/>
      <c r="C809" s="24"/>
      <c r="D809" s="24"/>
      <c r="E809" s="24"/>
      <c r="F809" s="24"/>
      <c r="G809" s="24"/>
      <c r="H809" s="48"/>
      <c r="I809" s="48"/>
    </row>
    <row r="810" ht="16.5" customHeight="1">
      <c r="B810" s="24"/>
      <c r="C810" s="24"/>
      <c r="D810" s="24"/>
      <c r="E810" s="24"/>
      <c r="F810" s="24"/>
      <c r="G810" s="24"/>
      <c r="H810" s="48"/>
      <c r="I810" s="48"/>
    </row>
    <row r="811" ht="16.5" customHeight="1">
      <c r="B811" s="24"/>
      <c r="C811" s="24"/>
      <c r="D811" s="24"/>
      <c r="E811" s="24"/>
      <c r="F811" s="24"/>
      <c r="G811" s="24"/>
      <c r="H811" s="48"/>
      <c r="I811" s="48"/>
    </row>
    <row r="812" ht="16.5" customHeight="1">
      <c r="B812" s="24"/>
      <c r="C812" s="24"/>
      <c r="D812" s="24"/>
      <c r="E812" s="24"/>
      <c r="F812" s="24"/>
      <c r="G812" s="24"/>
      <c r="H812" s="48"/>
      <c r="I812" s="48"/>
    </row>
    <row r="813" ht="16.5" customHeight="1">
      <c r="B813" s="24"/>
      <c r="C813" s="24"/>
      <c r="D813" s="24"/>
      <c r="E813" s="24"/>
      <c r="F813" s="24"/>
      <c r="G813" s="24"/>
      <c r="H813" s="48"/>
      <c r="I813" s="48"/>
    </row>
    <row r="814" ht="16.5" customHeight="1">
      <c r="B814" s="24"/>
      <c r="C814" s="24"/>
      <c r="D814" s="24"/>
      <c r="E814" s="24"/>
      <c r="F814" s="24"/>
      <c r="G814" s="24"/>
      <c r="H814" s="48"/>
      <c r="I814" s="48"/>
    </row>
    <row r="815" ht="16.5" customHeight="1">
      <c r="B815" s="24"/>
      <c r="C815" s="24"/>
      <c r="D815" s="24"/>
      <c r="E815" s="24"/>
      <c r="F815" s="24"/>
      <c r="G815" s="24"/>
      <c r="H815" s="48"/>
      <c r="I815" s="48"/>
    </row>
    <row r="816" ht="16.5" customHeight="1">
      <c r="B816" s="24"/>
      <c r="C816" s="24"/>
      <c r="D816" s="24"/>
      <c r="E816" s="24"/>
      <c r="F816" s="24"/>
      <c r="G816" s="24"/>
      <c r="H816" s="48"/>
      <c r="I816" s="48"/>
    </row>
    <row r="817" ht="16.5" customHeight="1">
      <c r="B817" s="24"/>
      <c r="C817" s="24"/>
      <c r="D817" s="24"/>
      <c r="E817" s="24"/>
      <c r="F817" s="24"/>
      <c r="G817" s="24"/>
      <c r="H817" s="48"/>
      <c r="I817" s="48"/>
    </row>
    <row r="818" ht="16.5" customHeight="1">
      <c r="B818" s="24"/>
      <c r="C818" s="24"/>
      <c r="D818" s="24"/>
      <c r="E818" s="24"/>
      <c r="F818" s="24"/>
      <c r="G818" s="24"/>
      <c r="H818" s="48"/>
      <c r="I818" s="48"/>
    </row>
    <row r="819" ht="16.5" customHeight="1">
      <c r="B819" s="24"/>
      <c r="C819" s="24"/>
      <c r="D819" s="24"/>
      <c r="E819" s="24"/>
      <c r="F819" s="24"/>
      <c r="G819" s="24"/>
      <c r="H819" s="48"/>
      <c r="I819" s="48"/>
    </row>
    <row r="820" ht="16.5" customHeight="1">
      <c r="B820" s="24"/>
      <c r="C820" s="24"/>
      <c r="D820" s="24"/>
      <c r="E820" s="24"/>
      <c r="F820" s="24"/>
      <c r="G820" s="24"/>
      <c r="H820" s="48"/>
      <c r="I820" s="48"/>
    </row>
    <row r="821" ht="16.5" customHeight="1">
      <c r="B821" s="24"/>
      <c r="C821" s="24"/>
      <c r="D821" s="24"/>
      <c r="E821" s="24"/>
      <c r="F821" s="24"/>
      <c r="G821" s="24"/>
      <c r="H821" s="48"/>
      <c r="I821" s="48"/>
    </row>
    <row r="822" ht="16.5" customHeight="1">
      <c r="B822" s="24"/>
      <c r="C822" s="24"/>
      <c r="D822" s="24"/>
      <c r="E822" s="24"/>
      <c r="F822" s="24"/>
      <c r="G822" s="24"/>
      <c r="H822" s="48"/>
      <c r="I822" s="48"/>
    </row>
    <row r="823" ht="16.5" customHeight="1">
      <c r="B823" s="24"/>
      <c r="C823" s="24"/>
      <c r="D823" s="24"/>
      <c r="E823" s="24"/>
      <c r="F823" s="24"/>
      <c r="G823" s="24"/>
      <c r="H823" s="48"/>
      <c r="I823" s="48"/>
    </row>
    <row r="824" ht="16.5" customHeight="1">
      <c r="B824" s="24"/>
      <c r="C824" s="24"/>
      <c r="D824" s="24"/>
      <c r="E824" s="24"/>
      <c r="F824" s="24"/>
      <c r="G824" s="24"/>
      <c r="H824" s="48"/>
      <c r="I824" s="48"/>
    </row>
    <row r="825" ht="16.5" customHeight="1">
      <c r="B825" s="24"/>
      <c r="C825" s="24"/>
      <c r="D825" s="24"/>
      <c r="E825" s="24"/>
      <c r="F825" s="24"/>
      <c r="G825" s="24"/>
      <c r="H825" s="48"/>
      <c r="I825" s="48"/>
    </row>
    <row r="826" ht="16.5" customHeight="1">
      <c r="B826" s="24"/>
      <c r="C826" s="24"/>
      <c r="D826" s="24"/>
      <c r="E826" s="24"/>
      <c r="F826" s="24"/>
      <c r="G826" s="24"/>
      <c r="H826" s="48"/>
      <c r="I826" s="48"/>
    </row>
    <row r="827" ht="16.5" customHeight="1">
      <c r="B827" s="24"/>
      <c r="C827" s="24"/>
      <c r="D827" s="24"/>
      <c r="E827" s="24"/>
      <c r="F827" s="24"/>
      <c r="G827" s="24"/>
      <c r="H827" s="48"/>
      <c r="I827" s="48"/>
    </row>
    <row r="828" ht="16.5" customHeight="1">
      <c r="B828" s="24"/>
      <c r="C828" s="24"/>
      <c r="D828" s="24"/>
      <c r="E828" s="24"/>
      <c r="F828" s="24"/>
      <c r="G828" s="24"/>
      <c r="H828" s="48"/>
      <c r="I828" s="48"/>
    </row>
    <row r="829" ht="16.5" customHeight="1">
      <c r="B829" s="24"/>
      <c r="C829" s="24"/>
      <c r="D829" s="24"/>
      <c r="E829" s="24"/>
      <c r="F829" s="24"/>
      <c r="G829" s="24"/>
      <c r="H829" s="48"/>
      <c r="I829" s="48"/>
    </row>
    <row r="830" ht="16.5" customHeight="1">
      <c r="B830" s="24"/>
      <c r="C830" s="24"/>
      <c r="D830" s="24"/>
      <c r="E830" s="24"/>
      <c r="F830" s="24"/>
      <c r="G830" s="24"/>
      <c r="H830" s="48"/>
      <c r="I830" s="48"/>
    </row>
    <row r="831" ht="16.5" customHeight="1">
      <c r="B831" s="24"/>
      <c r="C831" s="24"/>
      <c r="D831" s="24"/>
      <c r="E831" s="24"/>
      <c r="F831" s="24"/>
      <c r="G831" s="24"/>
      <c r="H831" s="48"/>
      <c r="I831" s="48"/>
    </row>
    <row r="832" ht="16.5" customHeight="1">
      <c r="B832" s="24"/>
      <c r="C832" s="24"/>
      <c r="D832" s="24"/>
      <c r="E832" s="24"/>
      <c r="F832" s="24"/>
      <c r="G832" s="24"/>
      <c r="H832" s="48"/>
      <c r="I832" s="48"/>
    </row>
    <row r="833" ht="16.5" customHeight="1">
      <c r="B833" s="24"/>
      <c r="C833" s="24"/>
      <c r="D833" s="24"/>
      <c r="E833" s="24"/>
      <c r="F833" s="24"/>
      <c r="G833" s="24"/>
      <c r="H833" s="48"/>
      <c r="I833" s="48"/>
    </row>
    <row r="834" ht="16.5" customHeight="1">
      <c r="B834" s="24"/>
      <c r="C834" s="24"/>
      <c r="D834" s="24"/>
      <c r="E834" s="24"/>
      <c r="F834" s="24"/>
      <c r="G834" s="24"/>
      <c r="H834" s="48"/>
      <c r="I834" s="48"/>
    </row>
    <row r="835" ht="16.5" customHeight="1">
      <c r="B835" s="24"/>
      <c r="C835" s="24"/>
      <c r="D835" s="24"/>
      <c r="E835" s="24"/>
      <c r="F835" s="24"/>
      <c r="G835" s="24"/>
      <c r="H835" s="48"/>
      <c r="I835" s="48"/>
    </row>
    <row r="836" ht="16.5" customHeight="1">
      <c r="B836" s="24"/>
      <c r="C836" s="24"/>
      <c r="D836" s="24"/>
      <c r="E836" s="24"/>
      <c r="F836" s="24"/>
      <c r="G836" s="24"/>
      <c r="H836" s="48"/>
      <c r="I836" s="48"/>
    </row>
    <row r="837" ht="16.5" customHeight="1">
      <c r="B837" s="24"/>
      <c r="C837" s="24"/>
      <c r="D837" s="24"/>
      <c r="E837" s="24"/>
      <c r="F837" s="24"/>
      <c r="G837" s="24"/>
      <c r="H837" s="48"/>
      <c r="I837" s="48"/>
    </row>
    <row r="838" ht="16.5" customHeight="1">
      <c r="B838" s="24"/>
      <c r="C838" s="24"/>
      <c r="D838" s="24"/>
      <c r="E838" s="24"/>
      <c r="F838" s="24"/>
      <c r="G838" s="24"/>
      <c r="H838" s="48"/>
      <c r="I838" s="48"/>
    </row>
    <row r="839" ht="16.5" customHeight="1">
      <c r="B839" s="24"/>
      <c r="C839" s="24"/>
      <c r="D839" s="24"/>
      <c r="E839" s="24"/>
      <c r="F839" s="24"/>
      <c r="G839" s="24"/>
      <c r="H839" s="48"/>
      <c r="I839" s="48"/>
    </row>
    <row r="840" ht="16.5" customHeight="1">
      <c r="B840" s="24"/>
      <c r="C840" s="24"/>
      <c r="D840" s="24"/>
      <c r="E840" s="24"/>
      <c r="F840" s="24"/>
      <c r="G840" s="24"/>
      <c r="H840" s="48"/>
      <c r="I840" s="48"/>
    </row>
    <row r="841" ht="16.5" customHeight="1">
      <c r="B841" s="24"/>
      <c r="C841" s="24"/>
      <c r="D841" s="24"/>
      <c r="E841" s="24"/>
      <c r="F841" s="24"/>
      <c r="G841" s="24"/>
      <c r="H841" s="48"/>
      <c r="I841" s="48"/>
    </row>
    <row r="842" ht="16.5" customHeight="1">
      <c r="B842" s="24"/>
      <c r="C842" s="24"/>
      <c r="D842" s="24"/>
      <c r="E842" s="24"/>
      <c r="F842" s="24"/>
      <c r="G842" s="24"/>
      <c r="H842" s="48"/>
      <c r="I842" s="48"/>
    </row>
    <row r="843" ht="16.5" customHeight="1">
      <c r="B843" s="24"/>
      <c r="C843" s="24"/>
      <c r="D843" s="24"/>
      <c r="E843" s="24"/>
      <c r="F843" s="24"/>
      <c r="G843" s="24"/>
      <c r="H843" s="48"/>
      <c r="I843" s="48"/>
    </row>
    <row r="844" ht="16.5" customHeight="1">
      <c r="B844" s="24"/>
      <c r="C844" s="24"/>
      <c r="D844" s="24"/>
      <c r="E844" s="24"/>
      <c r="F844" s="24"/>
      <c r="G844" s="24"/>
      <c r="H844" s="48"/>
      <c r="I844" s="48"/>
    </row>
    <row r="845" ht="16.5" customHeight="1">
      <c r="B845" s="24"/>
      <c r="C845" s="24"/>
      <c r="D845" s="24"/>
      <c r="E845" s="24"/>
      <c r="F845" s="24"/>
      <c r="G845" s="24"/>
      <c r="H845" s="48"/>
      <c r="I845" s="48"/>
    </row>
    <row r="846" ht="16.5" customHeight="1">
      <c r="B846" s="24"/>
      <c r="C846" s="24"/>
      <c r="D846" s="24"/>
      <c r="E846" s="24"/>
      <c r="F846" s="24"/>
      <c r="G846" s="24"/>
      <c r="H846" s="48"/>
      <c r="I846" s="48"/>
    </row>
    <row r="847" ht="16.5" customHeight="1">
      <c r="B847" s="24"/>
      <c r="C847" s="24"/>
      <c r="D847" s="24"/>
      <c r="E847" s="24"/>
      <c r="F847" s="24"/>
      <c r="G847" s="24"/>
      <c r="H847" s="48"/>
      <c r="I847" s="48"/>
    </row>
    <row r="848" ht="16.5" customHeight="1">
      <c r="B848" s="24"/>
      <c r="C848" s="24"/>
      <c r="D848" s="24"/>
      <c r="E848" s="24"/>
      <c r="F848" s="24"/>
      <c r="G848" s="24"/>
      <c r="H848" s="48"/>
      <c r="I848" s="48"/>
    </row>
    <row r="849" ht="16.5" customHeight="1">
      <c r="B849" s="24"/>
      <c r="C849" s="24"/>
      <c r="D849" s="24"/>
      <c r="E849" s="24"/>
      <c r="F849" s="24"/>
      <c r="G849" s="24"/>
      <c r="H849" s="48"/>
      <c r="I849" s="48"/>
    </row>
    <row r="850" ht="16.5" customHeight="1">
      <c r="B850" s="24"/>
      <c r="C850" s="24"/>
      <c r="D850" s="24"/>
      <c r="E850" s="24"/>
      <c r="F850" s="24"/>
      <c r="G850" s="24"/>
      <c r="H850" s="48"/>
      <c r="I850" s="48"/>
    </row>
    <row r="851" ht="16.5" customHeight="1">
      <c r="B851" s="24"/>
      <c r="C851" s="24"/>
      <c r="D851" s="24"/>
      <c r="E851" s="24"/>
      <c r="F851" s="24"/>
      <c r="G851" s="24"/>
      <c r="H851" s="48"/>
      <c r="I851" s="48"/>
    </row>
    <row r="852" ht="16.5" customHeight="1">
      <c r="B852" s="24"/>
      <c r="C852" s="24"/>
      <c r="D852" s="24"/>
      <c r="E852" s="24"/>
      <c r="F852" s="24"/>
      <c r="G852" s="24"/>
      <c r="H852" s="48"/>
      <c r="I852" s="48"/>
    </row>
    <row r="853" ht="16.5" customHeight="1">
      <c r="B853" s="24"/>
      <c r="C853" s="24"/>
      <c r="D853" s="24"/>
      <c r="E853" s="24"/>
      <c r="F853" s="24"/>
      <c r="G853" s="24"/>
      <c r="H853" s="48"/>
      <c r="I853" s="48"/>
    </row>
    <row r="854" ht="16.5" customHeight="1">
      <c r="B854" s="24"/>
      <c r="C854" s="24"/>
      <c r="D854" s="24"/>
      <c r="E854" s="24"/>
      <c r="F854" s="24"/>
      <c r="G854" s="24"/>
      <c r="H854" s="48"/>
      <c r="I854" s="48"/>
    </row>
    <row r="855" ht="16.5" customHeight="1">
      <c r="B855" s="24"/>
      <c r="C855" s="24"/>
      <c r="D855" s="24"/>
      <c r="E855" s="24"/>
      <c r="F855" s="24"/>
      <c r="G855" s="24"/>
      <c r="H855" s="48"/>
      <c r="I855" s="48"/>
    </row>
    <row r="856" ht="16.5" customHeight="1">
      <c r="B856" s="24"/>
      <c r="C856" s="24"/>
      <c r="D856" s="24"/>
      <c r="E856" s="24"/>
      <c r="F856" s="24"/>
      <c r="G856" s="24"/>
      <c r="H856" s="48"/>
      <c r="I856" s="48"/>
    </row>
    <row r="857" ht="16.5" customHeight="1">
      <c r="B857" s="24"/>
      <c r="C857" s="24"/>
      <c r="D857" s="24"/>
      <c r="E857" s="24"/>
      <c r="F857" s="24"/>
      <c r="G857" s="24"/>
      <c r="H857" s="48"/>
      <c r="I857" s="48"/>
    </row>
    <row r="858" ht="16.5" customHeight="1">
      <c r="B858" s="24"/>
      <c r="C858" s="24"/>
      <c r="D858" s="24"/>
      <c r="E858" s="24"/>
      <c r="F858" s="24"/>
      <c r="G858" s="24"/>
      <c r="H858" s="48"/>
      <c r="I858" s="48"/>
    </row>
    <row r="859" ht="16.5" customHeight="1">
      <c r="B859" s="24"/>
      <c r="C859" s="24"/>
      <c r="D859" s="24"/>
      <c r="E859" s="24"/>
      <c r="F859" s="24"/>
      <c r="G859" s="24"/>
      <c r="H859" s="48"/>
      <c r="I859" s="48"/>
    </row>
    <row r="860" ht="16.5" customHeight="1">
      <c r="B860" s="24"/>
      <c r="C860" s="24"/>
      <c r="D860" s="24"/>
      <c r="E860" s="24"/>
      <c r="F860" s="24"/>
      <c r="G860" s="24"/>
      <c r="H860" s="48"/>
      <c r="I860" s="48"/>
    </row>
    <row r="861" ht="16.5" customHeight="1">
      <c r="B861" s="24"/>
      <c r="C861" s="24"/>
      <c r="D861" s="24"/>
      <c r="E861" s="24"/>
      <c r="F861" s="24"/>
      <c r="G861" s="24"/>
      <c r="H861" s="48"/>
      <c r="I861" s="48"/>
    </row>
    <row r="862" ht="16.5" customHeight="1">
      <c r="B862" s="24"/>
      <c r="C862" s="24"/>
      <c r="D862" s="24"/>
      <c r="E862" s="24"/>
      <c r="F862" s="24"/>
      <c r="G862" s="24"/>
      <c r="H862" s="48"/>
      <c r="I862" s="48"/>
    </row>
    <row r="863" ht="16.5" customHeight="1">
      <c r="B863" s="24"/>
      <c r="C863" s="24"/>
      <c r="D863" s="24"/>
      <c r="E863" s="24"/>
      <c r="F863" s="24"/>
      <c r="G863" s="24"/>
      <c r="H863" s="48"/>
      <c r="I863" s="48"/>
    </row>
    <row r="864" ht="16.5" customHeight="1">
      <c r="B864" s="24"/>
      <c r="C864" s="24"/>
      <c r="D864" s="24"/>
      <c r="E864" s="24"/>
      <c r="F864" s="24"/>
      <c r="G864" s="24"/>
      <c r="H864" s="48"/>
      <c r="I864" s="48"/>
    </row>
    <row r="865" ht="16.5" customHeight="1">
      <c r="B865" s="24"/>
      <c r="C865" s="24"/>
      <c r="D865" s="24"/>
      <c r="E865" s="24"/>
      <c r="F865" s="24"/>
      <c r="G865" s="24"/>
      <c r="H865" s="48"/>
      <c r="I865" s="48"/>
    </row>
    <row r="866" ht="16.5" customHeight="1">
      <c r="B866" s="24"/>
      <c r="C866" s="24"/>
      <c r="D866" s="24"/>
      <c r="E866" s="24"/>
      <c r="F866" s="24"/>
      <c r="G866" s="24"/>
      <c r="H866" s="48"/>
      <c r="I866" s="48"/>
    </row>
    <row r="867" ht="16.5" customHeight="1">
      <c r="B867" s="24"/>
      <c r="C867" s="24"/>
      <c r="D867" s="24"/>
      <c r="E867" s="24"/>
      <c r="F867" s="24"/>
      <c r="G867" s="24"/>
      <c r="H867" s="48"/>
      <c r="I867" s="48"/>
    </row>
    <row r="868" ht="16.5" customHeight="1">
      <c r="B868" s="24"/>
      <c r="C868" s="24"/>
      <c r="D868" s="24"/>
      <c r="E868" s="24"/>
      <c r="F868" s="24"/>
      <c r="G868" s="24"/>
      <c r="H868" s="48"/>
      <c r="I868" s="48"/>
    </row>
    <row r="869" ht="16.5" customHeight="1">
      <c r="B869" s="24"/>
      <c r="C869" s="24"/>
      <c r="D869" s="24"/>
      <c r="E869" s="24"/>
      <c r="F869" s="24"/>
      <c r="G869" s="24"/>
      <c r="H869" s="48"/>
      <c r="I869" s="48"/>
    </row>
    <row r="870" ht="16.5" customHeight="1">
      <c r="B870" s="24"/>
      <c r="C870" s="24"/>
      <c r="D870" s="24"/>
      <c r="E870" s="24"/>
      <c r="F870" s="24"/>
      <c r="G870" s="24"/>
      <c r="H870" s="48"/>
      <c r="I870" s="48"/>
    </row>
    <row r="871" ht="16.5" customHeight="1">
      <c r="B871" s="24"/>
      <c r="C871" s="24"/>
      <c r="D871" s="24"/>
      <c r="E871" s="24"/>
      <c r="F871" s="24"/>
      <c r="G871" s="24"/>
      <c r="H871" s="48"/>
      <c r="I871" s="48"/>
    </row>
    <row r="872" ht="16.5" customHeight="1">
      <c r="B872" s="24"/>
      <c r="C872" s="24"/>
      <c r="D872" s="24"/>
      <c r="E872" s="24"/>
      <c r="F872" s="24"/>
      <c r="G872" s="24"/>
      <c r="H872" s="48"/>
      <c r="I872" s="48"/>
    </row>
    <row r="873" ht="16.5" customHeight="1">
      <c r="B873" s="24"/>
      <c r="C873" s="24"/>
      <c r="D873" s="24"/>
      <c r="E873" s="24"/>
      <c r="F873" s="24"/>
      <c r="G873" s="24"/>
      <c r="H873" s="48"/>
      <c r="I873" s="48"/>
    </row>
    <row r="874" ht="16.5" customHeight="1">
      <c r="B874" s="24"/>
      <c r="C874" s="24"/>
      <c r="D874" s="24"/>
      <c r="E874" s="24"/>
      <c r="F874" s="24"/>
      <c r="G874" s="24"/>
      <c r="H874" s="48"/>
      <c r="I874" s="48"/>
    </row>
    <row r="875" ht="16.5" customHeight="1">
      <c r="B875" s="24"/>
      <c r="C875" s="24"/>
      <c r="D875" s="24"/>
      <c r="E875" s="24"/>
      <c r="F875" s="24"/>
      <c r="G875" s="24"/>
      <c r="H875" s="48"/>
      <c r="I875" s="48"/>
    </row>
    <row r="876" ht="16.5" customHeight="1">
      <c r="B876" s="24"/>
      <c r="C876" s="24"/>
      <c r="D876" s="24"/>
      <c r="E876" s="24"/>
      <c r="F876" s="24"/>
      <c r="G876" s="24"/>
      <c r="H876" s="48"/>
      <c r="I876" s="48"/>
    </row>
    <row r="877" ht="16.5" customHeight="1">
      <c r="B877" s="24"/>
      <c r="C877" s="24"/>
      <c r="D877" s="24"/>
      <c r="E877" s="24"/>
      <c r="F877" s="24"/>
      <c r="G877" s="24"/>
      <c r="H877" s="48"/>
      <c r="I877" s="48"/>
    </row>
    <row r="878" ht="16.5" customHeight="1">
      <c r="B878" s="24"/>
      <c r="C878" s="24"/>
      <c r="D878" s="24"/>
      <c r="E878" s="24"/>
      <c r="F878" s="24"/>
      <c r="G878" s="24"/>
      <c r="H878" s="48"/>
      <c r="I878" s="48"/>
    </row>
    <row r="879" ht="16.5" customHeight="1">
      <c r="B879" s="24"/>
      <c r="C879" s="24"/>
      <c r="D879" s="24"/>
      <c r="E879" s="24"/>
      <c r="F879" s="24"/>
      <c r="G879" s="24"/>
      <c r="H879" s="48"/>
      <c r="I879" s="48"/>
    </row>
    <row r="880" ht="16.5" customHeight="1">
      <c r="B880" s="24"/>
      <c r="C880" s="24"/>
      <c r="D880" s="24"/>
      <c r="E880" s="24"/>
      <c r="F880" s="24"/>
      <c r="G880" s="24"/>
      <c r="H880" s="48"/>
      <c r="I880" s="48"/>
    </row>
    <row r="881" ht="16.5" customHeight="1">
      <c r="B881" s="24"/>
      <c r="C881" s="24"/>
      <c r="D881" s="24"/>
      <c r="E881" s="24"/>
      <c r="F881" s="24"/>
      <c r="G881" s="24"/>
      <c r="H881" s="48"/>
      <c r="I881" s="48"/>
    </row>
    <row r="882" ht="16.5" customHeight="1">
      <c r="B882" s="24"/>
      <c r="C882" s="24"/>
      <c r="D882" s="24"/>
      <c r="E882" s="24"/>
      <c r="F882" s="24"/>
      <c r="G882" s="24"/>
      <c r="H882" s="48"/>
      <c r="I882" s="48"/>
    </row>
    <row r="883" ht="16.5" customHeight="1">
      <c r="B883" s="24"/>
      <c r="C883" s="24"/>
      <c r="D883" s="24"/>
      <c r="E883" s="24"/>
      <c r="F883" s="24"/>
      <c r="G883" s="24"/>
      <c r="H883" s="48"/>
      <c r="I883" s="48"/>
    </row>
    <row r="884" ht="16.5" customHeight="1">
      <c r="B884" s="24"/>
      <c r="C884" s="24"/>
      <c r="D884" s="24"/>
      <c r="E884" s="24"/>
      <c r="F884" s="24"/>
      <c r="G884" s="24"/>
      <c r="H884" s="48"/>
      <c r="I884" s="48"/>
    </row>
    <row r="885" ht="16.5" customHeight="1">
      <c r="B885" s="24"/>
      <c r="C885" s="24"/>
      <c r="D885" s="24"/>
      <c r="E885" s="24"/>
      <c r="F885" s="24"/>
      <c r="G885" s="24"/>
      <c r="H885" s="48"/>
      <c r="I885" s="48"/>
    </row>
    <row r="886" ht="16.5" customHeight="1">
      <c r="B886" s="24"/>
      <c r="C886" s="24"/>
      <c r="D886" s="24"/>
      <c r="E886" s="24"/>
      <c r="F886" s="24"/>
      <c r="G886" s="24"/>
      <c r="H886" s="48"/>
      <c r="I886" s="48"/>
    </row>
    <row r="887" ht="16.5" customHeight="1">
      <c r="B887" s="24"/>
      <c r="C887" s="24"/>
      <c r="D887" s="24"/>
      <c r="E887" s="24"/>
      <c r="F887" s="24"/>
      <c r="G887" s="24"/>
      <c r="H887" s="48"/>
      <c r="I887" s="48"/>
    </row>
    <row r="888" ht="16.5" customHeight="1">
      <c r="B888" s="24"/>
      <c r="C888" s="24"/>
      <c r="D888" s="24"/>
      <c r="E888" s="24"/>
      <c r="F888" s="24"/>
      <c r="G888" s="24"/>
      <c r="H888" s="48"/>
      <c r="I888" s="48"/>
    </row>
    <row r="889" ht="16.5" customHeight="1">
      <c r="B889" s="24"/>
      <c r="C889" s="24"/>
      <c r="D889" s="24"/>
      <c r="E889" s="24"/>
      <c r="F889" s="24"/>
      <c r="G889" s="24"/>
      <c r="H889" s="48"/>
      <c r="I889" s="48"/>
    </row>
    <row r="890" ht="16.5" customHeight="1">
      <c r="B890" s="24"/>
      <c r="C890" s="24"/>
      <c r="D890" s="24"/>
      <c r="E890" s="24"/>
      <c r="F890" s="24"/>
      <c r="G890" s="24"/>
      <c r="H890" s="48"/>
      <c r="I890" s="48"/>
    </row>
    <row r="891" ht="16.5" customHeight="1">
      <c r="B891" s="24"/>
      <c r="C891" s="24"/>
      <c r="D891" s="24"/>
      <c r="E891" s="24"/>
      <c r="F891" s="24"/>
      <c r="G891" s="24"/>
      <c r="H891" s="48"/>
      <c r="I891" s="48"/>
    </row>
    <row r="892" ht="16.5" customHeight="1">
      <c r="B892" s="24"/>
      <c r="C892" s="24"/>
      <c r="D892" s="24"/>
      <c r="E892" s="24"/>
      <c r="F892" s="24"/>
      <c r="G892" s="24"/>
      <c r="H892" s="48"/>
      <c r="I892" s="48"/>
    </row>
    <row r="893" ht="16.5" customHeight="1">
      <c r="B893" s="24"/>
      <c r="C893" s="24"/>
      <c r="D893" s="24"/>
      <c r="E893" s="24"/>
      <c r="F893" s="24"/>
      <c r="G893" s="24"/>
      <c r="H893" s="48"/>
      <c r="I893" s="48"/>
    </row>
    <row r="894" ht="16.5" customHeight="1">
      <c r="B894" s="24"/>
      <c r="C894" s="24"/>
      <c r="D894" s="24"/>
      <c r="E894" s="24"/>
      <c r="F894" s="24"/>
      <c r="G894" s="24"/>
      <c r="H894" s="48"/>
      <c r="I894" s="48"/>
    </row>
    <row r="895" ht="16.5" customHeight="1">
      <c r="B895" s="24"/>
      <c r="C895" s="24"/>
      <c r="D895" s="24"/>
      <c r="E895" s="24"/>
      <c r="F895" s="24"/>
      <c r="G895" s="24"/>
      <c r="H895" s="48"/>
      <c r="I895" s="48"/>
    </row>
    <row r="896" ht="16.5" customHeight="1">
      <c r="B896" s="24"/>
      <c r="C896" s="24"/>
      <c r="D896" s="24"/>
      <c r="E896" s="24"/>
      <c r="F896" s="24"/>
      <c r="G896" s="24"/>
      <c r="H896" s="48"/>
      <c r="I896" s="48"/>
    </row>
    <row r="897" ht="16.5" customHeight="1">
      <c r="B897" s="24"/>
      <c r="C897" s="24"/>
      <c r="D897" s="24"/>
      <c r="E897" s="24"/>
      <c r="F897" s="24"/>
      <c r="G897" s="24"/>
      <c r="H897" s="48"/>
      <c r="I897" s="48"/>
    </row>
    <row r="898" ht="16.5" customHeight="1">
      <c r="B898" s="24"/>
      <c r="C898" s="24"/>
      <c r="D898" s="24"/>
      <c r="E898" s="24"/>
      <c r="F898" s="24"/>
      <c r="G898" s="24"/>
      <c r="H898" s="48"/>
      <c r="I898" s="48"/>
    </row>
    <row r="899" ht="16.5" customHeight="1">
      <c r="B899" s="24"/>
      <c r="C899" s="24"/>
      <c r="D899" s="24"/>
      <c r="E899" s="24"/>
      <c r="F899" s="24"/>
      <c r="G899" s="24"/>
      <c r="H899" s="48"/>
      <c r="I899" s="48"/>
    </row>
    <row r="900" ht="16.5" customHeight="1">
      <c r="B900" s="24"/>
      <c r="C900" s="24"/>
      <c r="D900" s="24"/>
      <c r="E900" s="24"/>
      <c r="F900" s="24"/>
      <c r="G900" s="24"/>
      <c r="H900" s="48"/>
      <c r="I900" s="48"/>
    </row>
    <row r="901" ht="16.5" customHeight="1">
      <c r="B901" s="24"/>
      <c r="C901" s="24"/>
      <c r="D901" s="24"/>
      <c r="E901" s="24"/>
      <c r="F901" s="24"/>
      <c r="G901" s="24"/>
      <c r="H901" s="48"/>
      <c r="I901" s="48"/>
    </row>
    <row r="902" ht="16.5" customHeight="1">
      <c r="B902" s="24"/>
      <c r="C902" s="24"/>
      <c r="D902" s="24"/>
      <c r="E902" s="24"/>
      <c r="F902" s="24"/>
      <c r="G902" s="24"/>
      <c r="H902" s="48"/>
      <c r="I902" s="48"/>
    </row>
    <row r="903" ht="16.5" customHeight="1">
      <c r="B903" s="24"/>
      <c r="C903" s="24"/>
      <c r="D903" s="24"/>
      <c r="E903" s="24"/>
      <c r="F903" s="24"/>
      <c r="G903" s="24"/>
      <c r="H903" s="48"/>
      <c r="I903" s="48"/>
    </row>
    <row r="904" ht="16.5" customHeight="1">
      <c r="B904" s="24"/>
      <c r="C904" s="24"/>
      <c r="D904" s="24"/>
      <c r="E904" s="24"/>
      <c r="F904" s="24"/>
      <c r="G904" s="24"/>
      <c r="H904" s="48"/>
      <c r="I904" s="48"/>
    </row>
    <row r="905" ht="16.5" customHeight="1">
      <c r="B905" s="24"/>
      <c r="C905" s="24"/>
      <c r="D905" s="24"/>
      <c r="E905" s="24"/>
      <c r="F905" s="24"/>
      <c r="G905" s="24"/>
      <c r="H905" s="48"/>
      <c r="I905" s="48"/>
    </row>
    <row r="906" ht="16.5" customHeight="1">
      <c r="B906" s="24"/>
      <c r="C906" s="24"/>
      <c r="D906" s="24"/>
      <c r="E906" s="24"/>
      <c r="F906" s="24"/>
      <c r="G906" s="24"/>
      <c r="H906" s="48"/>
      <c r="I906" s="48"/>
    </row>
    <row r="907" ht="16.5" customHeight="1">
      <c r="B907" s="24"/>
      <c r="C907" s="24"/>
      <c r="D907" s="24"/>
      <c r="E907" s="24"/>
      <c r="F907" s="24"/>
      <c r="G907" s="24"/>
      <c r="H907" s="48"/>
      <c r="I907" s="48"/>
    </row>
    <row r="908" ht="16.5" customHeight="1">
      <c r="B908" s="24"/>
      <c r="C908" s="24"/>
      <c r="D908" s="24"/>
      <c r="E908" s="24"/>
      <c r="F908" s="24"/>
      <c r="G908" s="24"/>
      <c r="H908" s="48"/>
      <c r="I908" s="48"/>
    </row>
    <row r="909" ht="16.5" customHeight="1">
      <c r="B909" s="24"/>
      <c r="C909" s="24"/>
      <c r="D909" s="24"/>
      <c r="E909" s="24"/>
      <c r="F909" s="24"/>
      <c r="G909" s="24"/>
      <c r="H909" s="48"/>
      <c r="I909" s="48"/>
    </row>
    <row r="910" ht="16.5" customHeight="1">
      <c r="B910" s="24"/>
      <c r="C910" s="24"/>
      <c r="D910" s="24"/>
      <c r="E910" s="24"/>
      <c r="F910" s="24"/>
      <c r="G910" s="24"/>
      <c r="H910" s="48"/>
      <c r="I910" s="48"/>
    </row>
    <row r="911" ht="16.5" customHeight="1">
      <c r="B911" s="24"/>
      <c r="C911" s="24"/>
      <c r="D911" s="24"/>
      <c r="E911" s="24"/>
      <c r="F911" s="24"/>
      <c r="G911" s="24"/>
      <c r="H911" s="48"/>
      <c r="I911" s="48"/>
    </row>
    <row r="912" ht="16.5" customHeight="1">
      <c r="B912" s="24"/>
      <c r="C912" s="24"/>
      <c r="D912" s="24"/>
      <c r="E912" s="24"/>
      <c r="F912" s="24"/>
      <c r="G912" s="24"/>
      <c r="H912" s="48"/>
      <c r="I912" s="48"/>
    </row>
    <row r="913" ht="16.5" customHeight="1">
      <c r="B913" s="24"/>
      <c r="C913" s="24"/>
      <c r="D913" s="24"/>
      <c r="E913" s="24"/>
      <c r="F913" s="24"/>
      <c r="G913" s="24"/>
      <c r="H913" s="48"/>
      <c r="I913" s="48"/>
    </row>
    <row r="914" ht="16.5" customHeight="1">
      <c r="B914" s="24"/>
      <c r="C914" s="24"/>
      <c r="D914" s="24"/>
      <c r="E914" s="24"/>
      <c r="F914" s="24"/>
      <c r="G914" s="24"/>
      <c r="H914" s="48"/>
      <c r="I914" s="48"/>
    </row>
    <row r="915" ht="16.5" customHeight="1">
      <c r="B915" s="24"/>
      <c r="C915" s="24"/>
      <c r="D915" s="24"/>
      <c r="E915" s="24"/>
      <c r="F915" s="24"/>
      <c r="G915" s="24"/>
      <c r="H915" s="48"/>
      <c r="I915" s="48"/>
    </row>
    <row r="916" ht="16.5" customHeight="1">
      <c r="B916" s="24"/>
      <c r="C916" s="24"/>
      <c r="D916" s="24"/>
      <c r="E916" s="24"/>
      <c r="F916" s="24"/>
      <c r="G916" s="24"/>
      <c r="H916" s="48"/>
      <c r="I916" s="48"/>
    </row>
    <row r="917" ht="16.5" customHeight="1">
      <c r="B917" s="24"/>
      <c r="C917" s="24"/>
      <c r="D917" s="24"/>
      <c r="E917" s="24"/>
      <c r="F917" s="24"/>
      <c r="G917" s="24"/>
      <c r="H917" s="48"/>
      <c r="I917" s="48"/>
    </row>
    <row r="918" ht="16.5" customHeight="1">
      <c r="B918" s="24"/>
      <c r="C918" s="24"/>
      <c r="D918" s="24"/>
      <c r="E918" s="24"/>
      <c r="F918" s="24"/>
      <c r="G918" s="24"/>
      <c r="H918" s="48"/>
      <c r="I918" s="48"/>
    </row>
    <row r="919" ht="16.5" customHeight="1">
      <c r="B919" s="24"/>
      <c r="C919" s="24"/>
      <c r="D919" s="24"/>
      <c r="E919" s="24"/>
      <c r="F919" s="24"/>
      <c r="G919" s="24"/>
      <c r="H919" s="48"/>
      <c r="I919" s="48"/>
    </row>
    <row r="920" ht="16.5" customHeight="1">
      <c r="B920" s="24"/>
      <c r="C920" s="24"/>
      <c r="D920" s="24"/>
      <c r="E920" s="24"/>
      <c r="F920" s="24"/>
      <c r="G920" s="24"/>
      <c r="H920" s="48"/>
      <c r="I920" s="48"/>
    </row>
    <row r="921" ht="16.5" customHeight="1">
      <c r="B921" s="24"/>
      <c r="C921" s="24"/>
      <c r="D921" s="24"/>
      <c r="E921" s="24"/>
      <c r="F921" s="24"/>
      <c r="G921" s="24"/>
      <c r="H921" s="48"/>
      <c r="I921" s="48"/>
    </row>
    <row r="922" ht="16.5" customHeight="1">
      <c r="B922" s="24"/>
      <c r="C922" s="24"/>
      <c r="D922" s="24"/>
      <c r="E922" s="24"/>
      <c r="F922" s="24"/>
      <c r="G922" s="24"/>
      <c r="H922" s="48"/>
      <c r="I922" s="48"/>
    </row>
    <row r="923" ht="16.5" customHeight="1">
      <c r="B923" s="24"/>
      <c r="C923" s="24"/>
      <c r="D923" s="24"/>
      <c r="E923" s="24"/>
      <c r="F923" s="24"/>
      <c r="G923" s="24"/>
      <c r="H923" s="48"/>
      <c r="I923" s="48"/>
    </row>
    <row r="924" ht="16.5" customHeight="1">
      <c r="B924" s="24"/>
      <c r="C924" s="24"/>
      <c r="D924" s="24"/>
      <c r="E924" s="24"/>
      <c r="F924" s="24"/>
      <c r="G924" s="24"/>
      <c r="H924" s="48"/>
      <c r="I924" s="48"/>
    </row>
    <row r="925" ht="16.5" customHeight="1">
      <c r="B925" s="24"/>
      <c r="C925" s="24"/>
      <c r="D925" s="24"/>
      <c r="E925" s="24"/>
      <c r="F925" s="24"/>
      <c r="G925" s="24"/>
      <c r="H925" s="48"/>
      <c r="I925" s="48"/>
    </row>
    <row r="926" ht="16.5" customHeight="1">
      <c r="B926" s="24"/>
      <c r="C926" s="24"/>
      <c r="D926" s="24"/>
      <c r="E926" s="24"/>
      <c r="F926" s="24"/>
      <c r="G926" s="24"/>
      <c r="H926" s="48"/>
      <c r="I926" s="48"/>
    </row>
    <row r="927" ht="16.5" customHeight="1">
      <c r="B927" s="24"/>
      <c r="C927" s="24"/>
      <c r="D927" s="24"/>
      <c r="E927" s="24"/>
      <c r="F927" s="24"/>
      <c r="G927" s="24"/>
      <c r="H927" s="48"/>
      <c r="I927" s="48"/>
    </row>
    <row r="928" ht="16.5" customHeight="1">
      <c r="B928" s="24"/>
      <c r="C928" s="24"/>
      <c r="D928" s="24"/>
      <c r="E928" s="24"/>
      <c r="F928" s="24"/>
      <c r="G928" s="24"/>
      <c r="H928" s="48"/>
      <c r="I928" s="48"/>
    </row>
    <row r="929" ht="16.5" customHeight="1">
      <c r="B929" s="24"/>
      <c r="C929" s="24"/>
      <c r="D929" s="24"/>
      <c r="E929" s="24"/>
      <c r="F929" s="24"/>
      <c r="G929" s="24"/>
      <c r="H929" s="48"/>
      <c r="I929" s="48"/>
    </row>
    <row r="930" ht="16.5" customHeight="1">
      <c r="B930" s="24"/>
      <c r="C930" s="24"/>
      <c r="D930" s="24"/>
      <c r="E930" s="24"/>
      <c r="F930" s="24"/>
      <c r="G930" s="24"/>
      <c r="H930" s="48"/>
      <c r="I930" s="48"/>
    </row>
    <row r="931" ht="16.5" customHeight="1">
      <c r="B931" s="24"/>
      <c r="C931" s="24"/>
      <c r="D931" s="24"/>
      <c r="E931" s="24"/>
      <c r="F931" s="24"/>
      <c r="G931" s="24"/>
      <c r="H931" s="48"/>
      <c r="I931" s="48"/>
    </row>
    <row r="932" ht="16.5" customHeight="1">
      <c r="B932" s="24"/>
      <c r="C932" s="24"/>
      <c r="D932" s="24"/>
      <c r="E932" s="24"/>
      <c r="F932" s="24"/>
      <c r="G932" s="24"/>
      <c r="H932" s="48"/>
      <c r="I932" s="48"/>
    </row>
    <row r="933" ht="16.5" customHeight="1">
      <c r="B933" s="24"/>
      <c r="C933" s="24"/>
      <c r="D933" s="24"/>
      <c r="E933" s="24"/>
      <c r="F933" s="24"/>
      <c r="G933" s="24"/>
      <c r="H933" s="48"/>
      <c r="I933" s="48"/>
    </row>
    <row r="934" ht="16.5" customHeight="1">
      <c r="B934" s="24"/>
      <c r="C934" s="24"/>
      <c r="D934" s="24"/>
      <c r="E934" s="24"/>
      <c r="F934" s="24"/>
      <c r="G934" s="24"/>
      <c r="H934" s="48"/>
      <c r="I934" s="48"/>
    </row>
    <row r="935" ht="16.5" customHeight="1">
      <c r="B935" s="24"/>
      <c r="C935" s="24"/>
      <c r="D935" s="24"/>
      <c r="E935" s="24"/>
      <c r="F935" s="24"/>
      <c r="G935" s="24"/>
      <c r="H935" s="48"/>
      <c r="I935" s="48"/>
    </row>
    <row r="936" ht="16.5" customHeight="1">
      <c r="B936" s="24"/>
      <c r="C936" s="24"/>
      <c r="D936" s="24"/>
      <c r="E936" s="24"/>
      <c r="F936" s="24"/>
      <c r="G936" s="24"/>
      <c r="H936" s="48"/>
      <c r="I936" s="48"/>
    </row>
    <row r="937" ht="16.5" customHeight="1">
      <c r="B937" s="24"/>
      <c r="C937" s="24"/>
      <c r="D937" s="24"/>
      <c r="E937" s="24"/>
      <c r="F937" s="24"/>
      <c r="G937" s="24"/>
      <c r="H937" s="48"/>
      <c r="I937" s="48"/>
    </row>
    <row r="938" ht="16.5" customHeight="1">
      <c r="B938" s="24"/>
      <c r="C938" s="24"/>
      <c r="D938" s="24"/>
      <c r="E938" s="24"/>
      <c r="F938" s="24"/>
      <c r="G938" s="24"/>
      <c r="H938" s="48"/>
      <c r="I938" s="48"/>
    </row>
    <row r="939" ht="16.5" customHeight="1">
      <c r="B939" s="24"/>
      <c r="C939" s="24"/>
      <c r="D939" s="24"/>
      <c r="E939" s="24"/>
      <c r="F939" s="24"/>
      <c r="G939" s="24"/>
      <c r="H939" s="48"/>
      <c r="I939" s="48"/>
    </row>
    <row r="940" ht="16.5" customHeight="1">
      <c r="B940" s="24"/>
      <c r="C940" s="24"/>
      <c r="D940" s="24"/>
      <c r="E940" s="24"/>
      <c r="F940" s="24"/>
      <c r="G940" s="24"/>
      <c r="H940" s="48"/>
      <c r="I940" s="48"/>
    </row>
    <row r="941" ht="16.5" customHeight="1">
      <c r="B941" s="24"/>
      <c r="C941" s="24"/>
      <c r="D941" s="24"/>
      <c r="E941" s="24"/>
      <c r="F941" s="24"/>
      <c r="G941" s="24"/>
      <c r="H941" s="48"/>
      <c r="I941" s="48"/>
    </row>
    <row r="942" ht="16.5" customHeight="1">
      <c r="B942" s="24"/>
      <c r="C942" s="24"/>
      <c r="D942" s="24"/>
      <c r="E942" s="24"/>
      <c r="F942" s="24"/>
      <c r="G942" s="24"/>
      <c r="H942" s="48"/>
      <c r="I942" s="48"/>
    </row>
    <row r="943" ht="16.5" customHeight="1">
      <c r="B943" s="24"/>
      <c r="C943" s="24"/>
      <c r="D943" s="24"/>
      <c r="E943" s="24"/>
      <c r="F943" s="24"/>
      <c r="G943" s="24"/>
      <c r="H943" s="48"/>
      <c r="I943" s="48"/>
    </row>
    <row r="944" ht="16.5" customHeight="1">
      <c r="B944" s="24"/>
      <c r="C944" s="24"/>
      <c r="D944" s="24"/>
      <c r="E944" s="24"/>
      <c r="F944" s="24"/>
      <c r="G944" s="24"/>
      <c r="H944" s="48"/>
      <c r="I944" s="48"/>
    </row>
    <row r="945" ht="16.5" customHeight="1">
      <c r="B945" s="24"/>
      <c r="C945" s="24"/>
      <c r="D945" s="24"/>
      <c r="E945" s="24"/>
      <c r="F945" s="24"/>
      <c r="G945" s="24"/>
      <c r="H945" s="48"/>
      <c r="I945" s="48"/>
    </row>
    <row r="946" ht="16.5" customHeight="1">
      <c r="B946" s="24"/>
      <c r="C946" s="24"/>
      <c r="D946" s="24"/>
      <c r="E946" s="24"/>
      <c r="F946" s="24"/>
      <c r="G946" s="24"/>
      <c r="H946" s="48"/>
      <c r="I946" s="48"/>
    </row>
    <row r="947" ht="16.5" customHeight="1">
      <c r="B947" s="24"/>
      <c r="C947" s="24"/>
      <c r="D947" s="24"/>
      <c r="E947" s="24"/>
      <c r="F947" s="24"/>
      <c r="G947" s="24"/>
      <c r="H947" s="48"/>
      <c r="I947" s="48"/>
    </row>
    <row r="948" ht="16.5" customHeight="1">
      <c r="B948" s="24"/>
      <c r="C948" s="24"/>
      <c r="D948" s="24"/>
      <c r="E948" s="24"/>
      <c r="F948" s="24"/>
      <c r="G948" s="24"/>
      <c r="H948" s="48"/>
      <c r="I948" s="48"/>
    </row>
    <row r="949" ht="16.5" customHeight="1">
      <c r="B949" s="24"/>
      <c r="C949" s="24"/>
      <c r="D949" s="24"/>
      <c r="E949" s="24"/>
      <c r="F949" s="24"/>
      <c r="G949" s="24"/>
      <c r="H949" s="48"/>
      <c r="I949" s="48"/>
    </row>
    <row r="950" ht="16.5" customHeight="1">
      <c r="B950" s="24"/>
      <c r="C950" s="24"/>
      <c r="D950" s="24"/>
      <c r="E950" s="24"/>
      <c r="F950" s="24"/>
      <c r="G950" s="24"/>
      <c r="H950" s="48"/>
      <c r="I950" s="48"/>
    </row>
    <row r="951" ht="16.5" customHeight="1">
      <c r="B951" s="24"/>
      <c r="C951" s="24"/>
      <c r="D951" s="24"/>
      <c r="E951" s="24"/>
      <c r="F951" s="24"/>
      <c r="G951" s="24"/>
      <c r="H951" s="48"/>
      <c r="I951" s="48"/>
    </row>
    <row r="952" ht="16.5" customHeight="1">
      <c r="B952" s="24"/>
      <c r="C952" s="24"/>
      <c r="D952" s="24"/>
      <c r="E952" s="24"/>
      <c r="F952" s="24"/>
      <c r="G952" s="24"/>
      <c r="H952" s="48"/>
      <c r="I952" s="48"/>
    </row>
    <row r="953" ht="16.5" customHeight="1">
      <c r="B953" s="24"/>
      <c r="C953" s="24"/>
      <c r="D953" s="24"/>
      <c r="E953" s="24"/>
      <c r="F953" s="24"/>
      <c r="G953" s="24"/>
      <c r="H953" s="48"/>
      <c r="I953" s="48"/>
    </row>
    <row r="954" ht="16.5" customHeight="1">
      <c r="B954" s="24"/>
      <c r="C954" s="24"/>
      <c r="D954" s="24"/>
      <c r="E954" s="24"/>
      <c r="F954" s="24"/>
      <c r="G954" s="24"/>
      <c r="H954" s="48"/>
      <c r="I954" s="48"/>
    </row>
    <row r="955" ht="16.5" customHeight="1">
      <c r="B955" s="24"/>
      <c r="C955" s="24"/>
      <c r="D955" s="24"/>
      <c r="E955" s="24"/>
      <c r="F955" s="24"/>
      <c r="G955" s="24"/>
      <c r="H955" s="48"/>
      <c r="I955" s="48"/>
    </row>
    <row r="956" ht="16.5" customHeight="1">
      <c r="B956" s="24"/>
      <c r="C956" s="24"/>
      <c r="D956" s="24"/>
      <c r="E956" s="24"/>
      <c r="F956" s="24"/>
      <c r="G956" s="24"/>
      <c r="H956" s="48"/>
      <c r="I956" s="48"/>
    </row>
    <row r="957" ht="16.5" customHeight="1">
      <c r="B957" s="24"/>
      <c r="C957" s="24"/>
      <c r="D957" s="24"/>
      <c r="E957" s="24"/>
      <c r="F957" s="24"/>
      <c r="G957" s="24"/>
      <c r="H957" s="48"/>
      <c r="I957" s="48"/>
    </row>
    <row r="958" ht="16.5" customHeight="1">
      <c r="B958" s="24"/>
      <c r="C958" s="24"/>
      <c r="D958" s="24"/>
      <c r="E958" s="24"/>
      <c r="F958" s="24"/>
      <c r="G958" s="24"/>
      <c r="H958" s="48"/>
      <c r="I958" s="48"/>
    </row>
    <row r="959" ht="16.5" customHeight="1">
      <c r="B959" s="24"/>
      <c r="C959" s="24"/>
      <c r="D959" s="24"/>
      <c r="E959" s="24"/>
      <c r="F959" s="24"/>
      <c r="G959" s="24"/>
      <c r="H959" s="48"/>
      <c r="I959" s="48"/>
    </row>
    <row r="960" ht="16.5" customHeight="1">
      <c r="B960" s="24"/>
      <c r="C960" s="24"/>
      <c r="D960" s="24"/>
      <c r="E960" s="24"/>
      <c r="F960" s="24"/>
      <c r="G960" s="24"/>
      <c r="H960" s="48"/>
      <c r="I960" s="48"/>
    </row>
    <row r="961" ht="16.5" customHeight="1">
      <c r="B961" s="24"/>
      <c r="C961" s="24"/>
      <c r="D961" s="24"/>
      <c r="E961" s="24"/>
      <c r="F961" s="24"/>
      <c r="G961" s="24"/>
      <c r="H961" s="48"/>
      <c r="I961" s="48"/>
    </row>
    <row r="962" ht="16.5" customHeight="1">
      <c r="B962" s="24"/>
      <c r="C962" s="24"/>
      <c r="D962" s="24"/>
      <c r="E962" s="24"/>
      <c r="F962" s="24"/>
      <c r="G962" s="24"/>
      <c r="H962" s="48"/>
      <c r="I962" s="48"/>
    </row>
    <row r="963" ht="16.5" customHeight="1">
      <c r="B963" s="24"/>
      <c r="C963" s="24"/>
      <c r="D963" s="24"/>
      <c r="E963" s="24"/>
      <c r="F963" s="24"/>
      <c r="G963" s="24"/>
      <c r="H963" s="48"/>
      <c r="I963" s="48"/>
    </row>
    <row r="964" ht="16.5" customHeight="1">
      <c r="B964" s="24"/>
      <c r="C964" s="24"/>
      <c r="D964" s="24"/>
      <c r="E964" s="24"/>
      <c r="F964" s="24"/>
      <c r="G964" s="24"/>
      <c r="H964" s="48"/>
      <c r="I964" s="48"/>
    </row>
    <row r="965" ht="16.5" customHeight="1">
      <c r="B965" s="24"/>
      <c r="C965" s="24"/>
      <c r="D965" s="24"/>
      <c r="E965" s="24"/>
      <c r="F965" s="24"/>
      <c r="G965" s="24"/>
      <c r="H965" s="48"/>
      <c r="I965" s="48"/>
    </row>
    <row r="966" ht="16.5" customHeight="1">
      <c r="B966" s="24"/>
      <c r="C966" s="24"/>
      <c r="D966" s="24"/>
      <c r="E966" s="24"/>
      <c r="F966" s="24"/>
      <c r="G966" s="24"/>
      <c r="H966" s="48"/>
      <c r="I966" s="48"/>
    </row>
    <row r="967" ht="16.5" customHeight="1">
      <c r="B967" s="24"/>
      <c r="C967" s="24"/>
      <c r="D967" s="24"/>
      <c r="E967" s="24"/>
      <c r="F967" s="24"/>
      <c r="G967" s="24"/>
      <c r="H967" s="48"/>
      <c r="I967" s="48"/>
    </row>
    <row r="968" ht="16.5" customHeight="1">
      <c r="B968" s="24"/>
      <c r="C968" s="24"/>
      <c r="D968" s="24"/>
      <c r="E968" s="24"/>
      <c r="F968" s="24"/>
      <c r="G968" s="24"/>
      <c r="H968" s="48"/>
      <c r="I968" s="48"/>
    </row>
    <row r="969" ht="16.5" customHeight="1">
      <c r="B969" s="24"/>
      <c r="C969" s="24"/>
      <c r="D969" s="24"/>
      <c r="E969" s="24"/>
      <c r="F969" s="24"/>
      <c r="G969" s="24"/>
      <c r="H969" s="48"/>
      <c r="I969" s="48"/>
    </row>
    <row r="970" ht="16.5" customHeight="1">
      <c r="B970" s="24"/>
      <c r="C970" s="24"/>
      <c r="D970" s="24"/>
      <c r="E970" s="24"/>
      <c r="F970" s="24"/>
      <c r="G970" s="24"/>
      <c r="H970" s="48"/>
      <c r="I970" s="48"/>
    </row>
    <row r="971" ht="16.5" customHeight="1">
      <c r="B971" s="24"/>
      <c r="C971" s="24"/>
      <c r="D971" s="24"/>
      <c r="E971" s="24"/>
      <c r="F971" s="24"/>
      <c r="G971" s="24"/>
      <c r="H971" s="48"/>
      <c r="I971" s="48"/>
    </row>
    <row r="972" ht="16.5" customHeight="1">
      <c r="B972" s="24"/>
      <c r="C972" s="24"/>
      <c r="D972" s="24"/>
      <c r="E972" s="24"/>
      <c r="F972" s="24"/>
      <c r="G972" s="24"/>
      <c r="H972" s="48"/>
      <c r="I972" s="48"/>
    </row>
    <row r="973" ht="16.5" customHeight="1">
      <c r="B973" s="24"/>
      <c r="C973" s="24"/>
      <c r="D973" s="24"/>
      <c r="E973" s="24"/>
      <c r="F973" s="24"/>
      <c r="G973" s="24"/>
      <c r="H973" s="48"/>
      <c r="I973" s="48"/>
    </row>
    <row r="974" ht="16.5" customHeight="1">
      <c r="B974" s="24"/>
      <c r="C974" s="24"/>
      <c r="D974" s="24"/>
      <c r="E974" s="24"/>
      <c r="F974" s="24"/>
      <c r="G974" s="24"/>
      <c r="H974" s="48"/>
      <c r="I974" s="48"/>
    </row>
    <row r="975" ht="16.5" customHeight="1">
      <c r="B975" s="24"/>
      <c r="C975" s="24"/>
      <c r="D975" s="24"/>
      <c r="E975" s="24"/>
      <c r="F975" s="24"/>
      <c r="G975" s="24"/>
      <c r="H975" s="48"/>
      <c r="I975" s="48"/>
    </row>
    <row r="976" ht="16.5" customHeight="1">
      <c r="B976" s="24"/>
      <c r="C976" s="24"/>
      <c r="D976" s="24"/>
      <c r="E976" s="24"/>
      <c r="F976" s="24"/>
      <c r="G976" s="24"/>
      <c r="H976" s="48"/>
      <c r="I976" s="48"/>
    </row>
    <row r="977" ht="16.5" customHeight="1">
      <c r="B977" s="24"/>
      <c r="C977" s="24"/>
      <c r="D977" s="24"/>
      <c r="E977" s="24"/>
      <c r="F977" s="24"/>
      <c r="G977" s="24"/>
      <c r="H977" s="48"/>
      <c r="I977" s="48"/>
    </row>
    <row r="978" ht="16.5" customHeight="1">
      <c r="B978" s="24"/>
      <c r="C978" s="24"/>
      <c r="D978" s="24"/>
      <c r="E978" s="24"/>
      <c r="F978" s="24"/>
      <c r="G978" s="24"/>
      <c r="H978" s="48"/>
      <c r="I978" s="48"/>
    </row>
    <row r="979" ht="16.5" customHeight="1">
      <c r="B979" s="24"/>
      <c r="C979" s="24"/>
      <c r="D979" s="24"/>
      <c r="E979" s="24"/>
      <c r="F979" s="24"/>
      <c r="G979" s="24"/>
      <c r="H979" s="48"/>
      <c r="I979" s="48"/>
    </row>
    <row r="980" ht="16.5" customHeight="1">
      <c r="B980" s="24"/>
      <c r="C980" s="24"/>
      <c r="D980" s="24"/>
      <c r="E980" s="24"/>
      <c r="F980" s="24"/>
      <c r="G980" s="24"/>
      <c r="H980" s="48"/>
      <c r="I980" s="48"/>
    </row>
    <row r="981" ht="16.5" customHeight="1">
      <c r="B981" s="24"/>
      <c r="C981" s="24"/>
      <c r="D981" s="24"/>
      <c r="E981" s="24"/>
      <c r="F981" s="24"/>
      <c r="G981" s="24"/>
      <c r="H981" s="48"/>
      <c r="I981" s="48"/>
    </row>
    <row r="982" ht="16.5" customHeight="1">
      <c r="B982" s="24"/>
      <c r="C982" s="24"/>
      <c r="D982" s="24"/>
      <c r="E982" s="24"/>
      <c r="F982" s="24"/>
      <c r="G982" s="24"/>
      <c r="H982" s="48"/>
      <c r="I982" s="48"/>
    </row>
    <row r="983" ht="16.5" customHeight="1">
      <c r="B983" s="24"/>
      <c r="C983" s="24"/>
      <c r="D983" s="24"/>
      <c r="E983" s="24"/>
      <c r="F983" s="24"/>
      <c r="G983" s="24"/>
      <c r="H983" s="48"/>
      <c r="I983" s="48"/>
    </row>
    <row r="984" ht="16.5" customHeight="1">
      <c r="B984" s="24"/>
      <c r="C984" s="24"/>
      <c r="D984" s="24"/>
      <c r="E984" s="24"/>
      <c r="F984" s="24"/>
      <c r="G984" s="24"/>
      <c r="H984" s="48"/>
      <c r="I984" s="48"/>
    </row>
    <row r="985" ht="16.5" customHeight="1">
      <c r="B985" s="24"/>
      <c r="C985" s="24"/>
      <c r="D985" s="24"/>
      <c r="E985" s="24"/>
      <c r="F985" s="24"/>
      <c r="G985" s="24"/>
      <c r="H985" s="48"/>
      <c r="I985" s="48"/>
    </row>
    <row r="986" ht="16.5" customHeight="1">
      <c r="B986" s="24"/>
      <c r="C986" s="24"/>
      <c r="D986" s="24"/>
      <c r="E986" s="24"/>
      <c r="F986" s="24"/>
      <c r="G986" s="24"/>
      <c r="H986" s="48"/>
      <c r="I986" s="48"/>
    </row>
    <row r="987" ht="16.5" customHeight="1">
      <c r="B987" s="24"/>
      <c r="C987" s="24"/>
      <c r="D987" s="24"/>
      <c r="E987" s="24"/>
      <c r="F987" s="24"/>
      <c r="G987" s="24"/>
      <c r="H987" s="48"/>
      <c r="I987" s="48"/>
    </row>
    <row r="988" ht="16.5" customHeight="1">
      <c r="B988" s="24"/>
      <c r="C988" s="24"/>
      <c r="D988" s="24"/>
      <c r="E988" s="24"/>
      <c r="F988" s="24"/>
      <c r="G988" s="24"/>
      <c r="H988" s="48"/>
      <c r="I988" s="48"/>
    </row>
    <row r="989" ht="16.5" customHeight="1">
      <c r="B989" s="24"/>
      <c r="C989" s="24"/>
      <c r="D989" s="24"/>
      <c r="E989" s="24"/>
      <c r="F989" s="24"/>
      <c r="G989" s="24"/>
      <c r="H989" s="48"/>
      <c r="I989" s="48"/>
    </row>
    <row r="990" ht="16.5" customHeight="1">
      <c r="B990" s="24"/>
      <c r="C990" s="24"/>
      <c r="D990" s="24"/>
      <c r="E990" s="24"/>
      <c r="F990" s="24"/>
      <c r="G990" s="24"/>
      <c r="H990" s="48"/>
      <c r="I990" s="48"/>
    </row>
    <row r="991" ht="16.5" customHeight="1">
      <c r="B991" s="24"/>
      <c r="C991" s="24"/>
      <c r="D991" s="24"/>
      <c r="E991" s="24"/>
      <c r="F991" s="24"/>
      <c r="G991" s="24"/>
      <c r="H991" s="48"/>
      <c r="I991" s="48"/>
    </row>
    <row r="992" ht="16.5" customHeight="1">
      <c r="B992" s="24"/>
      <c r="C992" s="24"/>
      <c r="D992" s="24"/>
      <c r="E992" s="24"/>
      <c r="F992" s="24"/>
      <c r="G992" s="24"/>
      <c r="H992" s="48"/>
      <c r="I992" s="48"/>
    </row>
    <row r="993" ht="16.5" customHeight="1">
      <c r="B993" s="24"/>
      <c r="C993" s="24"/>
      <c r="D993" s="24"/>
      <c r="E993" s="24"/>
      <c r="F993" s="24"/>
      <c r="G993" s="24"/>
      <c r="H993" s="48"/>
      <c r="I993" s="48"/>
    </row>
    <row r="994" ht="16.5" customHeight="1">
      <c r="B994" s="24"/>
      <c r="C994" s="24"/>
      <c r="D994" s="24"/>
      <c r="E994" s="24"/>
      <c r="F994" s="24"/>
      <c r="G994" s="24"/>
      <c r="H994" s="48"/>
      <c r="I994" s="48"/>
    </row>
    <row r="995" ht="16.5" customHeight="1">
      <c r="B995" s="24"/>
      <c r="C995" s="24"/>
      <c r="D995" s="24"/>
      <c r="E995" s="24"/>
      <c r="F995" s="24"/>
      <c r="G995" s="24"/>
      <c r="H995" s="48"/>
      <c r="I995" s="48"/>
    </row>
    <row r="996" ht="16.5" customHeight="1">
      <c r="B996" s="24"/>
      <c r="C996" s="24"/>
      <c r="D996" s="24"/>
      <c r="E996" s="24"/>
      <c r="F996" s="24"/>
      <c r="G996" s="24"/>
      <c r="H996" s="48"/>
      <c r="I996" s="48"/>
    </row>
    <row r="997" ht="16.5" customHeight="1">
      <c r="B997" s="24"/>
      <c r="C997" s="24"/>
      <c r="D997" s="24"/>
      <c r="E997" s="24"/>
      <c r="F997" s="24"/>
      <c r="G997" s="24"/>
      <c r="H997" s="48"/>
      <c r="I997" s="48"/>
    </row>
    <row r="998" ht="16.5" customHeight="1">
      <c r="B998" s="24"/>
      <c r="C998" s="24"/>
      <c r="D998" s="24"/>
      <c r="E998" s="24"/>
      <c r="F998" s="24"/>
      <c r="G998" s="24"/>
      <c r="H998" s="48"/>
      <c r="I998" s="48"/>
    </row>
    <row r="999" ht="16.5" customHeight="1">
      <c r="B999" s="24"/>
      <c r="C999" s="24"/>
      <c r="D999" s="24"/>
      <c r="E999" s="24"/>
      <c r="F999" s="24"/>
      <c r="G999" s="24"/>
      <c r="H999" s="48"/>
      <c r="I999" s="48"/>
    </row>
  </sheetData>
  <mergeCells count="3">
    <mergeCell ref="B1:C1"/>
    <mergeCell ref="D1:E1"/>
    <mergeCell ref="F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2" max="2" width="28.0"/>
    <col customWidth="1" min="3" max="3" width="18.88"/>
    <col customWidth="1" min="4" max="4" width="24.63"/>
    <col customWidth="1" min="5" max="5" width="16.0"/>
    <col customWidth="1" min="6" max="6" width="29.5"/>
    <col customWidth="1" min="7" max="7" width="18.63"/>
    <col customWidth="1" min="8" max="8" width="23.38"/>
    <col customWidth="1" min="9" max="9" width="16.13"/>
    <col customWidth="1" min="10" max="10" width="27.25"/>
    <col customWidth="1" min="11" max="11" width="19.0"/>
    <col customWidth="1" min="12" max="12" width="24.63"/>
  </cols>
  <sheetData>
    <row r="1" ht="16.5" customHeight="1">
      <c r="A1" s="71">
        <v>2023.0</v>
      </c>
      <c r="B1" s="52"/>
      <c r="C1" s="52"/>
      <c r="D1" s="52"/>
      <c r="E1" s="71">
        <v>2024.0</v>
      </c>
      <c r="F1" s="52"/>
      <c r="G1" s="52"/>
      <c r="H1" s="52"/>
      <c r="I1" s="71">
        <v>2025.0</v>
      </c>
      <c r="J1" s="52"/>
      <c r="K1" s="52"/>
      <c r="L1" s="5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6.5" customHeight="1">
      <c r="A2" s="54" t="s">
        <v>18</v>
      </c>
      <c r="B2" s="55" t="s">
        <v>38</v>
      </c>
      <c r="C2" s="43" t="s">
        <v>19</v>
      </c>
      <c r="D2" s="43" t="s">
        <v>25</v>
      </c>
      <c r="E2" s="28" t="s">
        <v>18</v>
      </c>
      <c r="F2" s="56" t="s">
        <v>38</v>
      </c>
      <c r="G2" s="43" t="s">
        <v>19</v>
      </c>
      <c r="H2" s="43" t="s">
        <v>25</v>
      </c>
      <c r="I2" s="54" t="s">
        <v>18</v>
      </c>
      <c r="J2" s="56" t="s">
        <v>38</v>
      </c>
      <c r="K2" s="43" t="s">
        <v>19</v>
      </c>
      <c r="L2" s="43" t="s">
        <v>25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6.5" customHeight="1">
      <c r="A3" s="72" t="s">
        <v>66</v>
      </c>
      <c r="B3" s="58">
        <v>-7.41469816272966</v>
      </c>
      <c r="C3" s="67">
        <v>21890.0</v>
      </c>
      <c r="D3" s="73">
        <v>1.5</v>
      </c>
      <c r="E3" s="72" t="s">
        <v>66</v>
      </c>
      <c r="F3" s="58">
        <v>-7.446578890567658</v>
      </c>
      <c r="G3" s="67">
        <v>22880.0</v>
      </c>
      <c r="H3" s="73">
        <v>1.5</v>
      </c>
      <c r="I3" s="72" t="s">
        <v>66</v>
      </c>
      <c r="J3" s="58">
        <v>-7.374138291205336</v>
      </c>
      <c r="K3" s="67">
        <v>23120.0</v>
      </c>
      <c r="L3" s="73">
        <v>1.5</v>
      </c>
    </row>
    <row r="4" ht="16.5" customHeight="1">
      <c r="A4" s="72" t="s">
        <v>62</v>
      </c>
      <c r="B4" s="58">
        <v>-4.821708903341569</v>
      </c>
      <c r="C4" s="67">
        <v>3300.0</v>
      </c>
      <c r="D4" s="73">
        <v>1.7</v>
      </c>
      <c r="E4" s="72" t="s">
        <v>109</v>
      </c>
      <c r="F4" s="58">
        <v>-5.513998717674713</v>
      </c>
      <c r="G4" s="67">
        <v>9830.0</v>
      </c>
      <c r="H4" s="73">
        <v>1.1</v>
      </c>
      <c r="I4" s="72" t="s">
        <v>92</v>
      </c>
      <c r="J4" s="58">
        <v>-6.287262872628727</v>
      </c>
      <c r="K4" s="67">
        <v>2750.0</v>
      </c>
      <c r="L4" s="73">
        <v>1.5</v>
      </c>
    </row>
    <row r="5" ht="16.5" customHeight="1">
      <c r="A5" s="72" t="s">
        <v>115</v>
      </c>
      <c r="B5" s="58">
        <v>-4.316939890710378</v>
      </c>
      <c r="C5" s="67">
        <v>3180.0</v>
      </c>
      <c r="D5" s="73">
        <v>2.2</v>
      </c>
      <c r="E5" s="72" t="s">
        <v>88</v>
      </c>
      <c r="F5" s="58">
        <v>-4.355716878402901</v>
      </c>
      <c r="G5" s="67">
        <v>5650.0</v>
      </c>
      <c r="H5" s="73">
        <v>1.2</v>
      </c>
      <c r="I5" s="72" t="s">
        <v>88</v>
      </c>
      <c r="J5" s="58">
        <v>-4.716336295283672</v>
      </c>
      <c r="K5" s="67">
        <v>6610.0</v>
      </c>
      <c r="L5" s="73">
        <v>0.9</v>
      </c>
    </row>
    <row r="6" ht="16.5" customHeight="1">
      <c r="A6" s="72" t="s">
        <v>109</v>
      </c>
      <c r="B6" s="58">
        <v>-3.8659793814432954</v>
      </c>
      <c r="C6" s="67">
        <v>9260.0</v>
      </c>
      <c r="D6" s="73">
        <v>0.8</v>
      </c>
      <c r="E6" s="72" t="s">
        <v>54</v>
      </c>
      <c r="F6" s="58">
        <v>-3.412784398699906</v>
      </c>
      <c r="G6" s="67">
        <v>7570.0</v>
      </c>
      <c r="H6" s="73">
        <v>1.7</v>
      </c>
      <c r="I6" s="72" t="s">
        <v>62</v>
      </c>
      <c r="J6" s="58">
        <v>-3.730056058645977</v>
      </c>
      <c r="K6" s="67">
        <v>3070.0</v>
      </c>
      <c r="L6" s="73">
        <v>3.1</v>
      </c>
    </row>
    <row r="7" ht="16.5" customHeight="1">
      <c r="A7" s="72" t="s">
        <v>54</v>
      </c>
      <c r="B7" s="58">
        <v>-3.490401396160567</v>
      </c>
      <c r="C7" s="67">
        <v>7230.0</v>
      </c>
      <c r="D7" s="73">
        <v>1.5</v>
      </c>
      <c r="E7" s="72" t="s">
        <v>141</v>
      </c>
      <c r="F7" s="58">
        <v>-3.1024930747922563</v>
      </c>
      <c r="G7" s="67">
        <v>12630.0</v>
      </c>
      <c r="H7" s="73">
        <v>1.1</v>
      </c>
      <c r="I7" s="72" t="s">
        <v>141</v>
      </c>
      <c r="J7" s="58">
        <v>-3.5597826086956394</v>
      </c>
      <c r="K7" s="67">
        <v>14310.0</v>
      </c>
      <c r="L7" s="73">
        <v>1.0</v>
      </c>
    </row>
    <row r="8" ht="16.5" customHeight="1">
      <c r="A8" s="72" t="s">
        <v>141</v>
      </c>
      <c r="B8" s="58">
        <v>-3.455001393145728</v>
      </c>
      <c r="C8" s="67">
        <v>11630.0</v>
      </c>
      <c r="D8" s="73">
        <v>1.1</v>
      </c>
      <c r="E8" s="72" t="s">
        <v>108</v>
      </c>
      <c r="F8" s="58">
        <v>-2.7795733678086605</v>
      </c>
      <c r="G8" s="67">
        <v>18380.0</v>
      </c>
      <c r="H8" s="73">
        <v>1.3</v>
      </c>
      <c r="I8" s="72" t="s">
        <v>84</v>
      </c>
      <c r="J8" s="58">
        <v>-3.19061903463322</v>
      </c>
      <c r="K8" s="67">
        <v>23530.0</v>
      </c>
      <c r="L8" s="73">
        <v>1.7</v>
      </c>
    </row>
    <row r="9" ht="16.5" customHeight="1">
      <c r="A9" s="72" t="s">
        <v>88</v>
      </c>
      <c r="B9" s="58">
        <v>-2.7343749999999987</v>
      </c>
      <c r="C9" s="67">
        <v>5040.0</v>
      </c>
      <c r="D9" s="73">
        <v>1.3</v>
      </c>
      <c r="E9" s="72" t="s">
        <v>84</v>
      </c>
      <c r="F9" s="58">
        <v>-2.203777904979954</v>
      </c>
      <c r="G9" s="67">
        <v>24670.0</v>
      </c>
      <c r="H9" s="73">
        <v>1.8</v>
      </c>
      <c r="I9" s="72" t="s">
        <v>105</v>
      </c>
      <c r="J9" s="58">
        <v>-1.6397922929762265</v>
      </c>
      <c r="K9" s="67">
        <v>2960.0</v>
      </c>
      <c r="L9" s="73">
        <v>1.6</v>
      </c>
    </row>
    <row r="10" ht="16.5" customHeight="1">
      <c r="A10" s="72" t="s">
        <v>76</v>
      </c>
      <c r="B10" s="58">
        <v>-2.1411021411021394</v>
      </c>
      <c r="C10" s="67">
        <v>11100.0</v>
      </c>
      <c r="D10" s="73">
        <v>0.9</v>
      </c>
      <c r="E10" s="72" t="s">
        <v>105</v>
      </c>
      <c r="F10" s="58">
        <v>-1.6142735768904002</v>
      </c>
      <c r="G10" s="67">
        <v>2710.0</v>
      </c>
      <c r="H10" s="73">
        <v>1.7</v>
      </c>
      <c r="I10" s="72" t="s">
        <v>109</v>
      </c>
      <c r="J10" s="58">
        <v>-1.5397249024840896</v>
      </c>
      <c r="K10" s="67">
        <v>10590.0</v>
      </c>
      <c r="L10" s="73">
        <v>0.9</v>
      </c>
    </row>
    <row r="11" ht="16.5" customHeight="1">
      <c r="A11" s="72" t="s">
        <v>46</v>
      </c>
      <c r="B11" s="58">
        <v>-1.6861665519614537</v>
      </c>
      <c r="C11" s="67">
        <v>17640.0</v>
      </c>
      <c r="D11" s="73">
        <v>1.1</v>
      </c>
      <c r="E11" s="72" t="s">
        <v>118</v>
      </c>
      <c r="F11" s="58">
        <v>-1.527531083481349</v>
      </c>
      <c r="G11" s="67">
        <v>2790.0</v>
      </c>
      <c r="H11" s="73">
        <v>1.0</v>
      </c>
      <c r="I11" s="72" t="s">
        <v>108</v>
      </c>
      <c r="J11" s="58">
        <v>-0.7863695937090419</v>
      </c>
      <c r="K11" s="67">
        <v>19380.0</v>
      </c>
      <c r="L11" s="73">
        <v>1.6</v>
      </c>
    </row>
    <row r="12" ht="16.5" customHeight="1">
      <c r="A12" s="72" t="s">
        <v>118</v>
      </c>
      <c r="B12" s="58">
        <v>-1.6570605187319916</v>
      </c>
      <c r="C12" s="67">
        <v>2650.0</v>
      </c>
      <c r="D12" s="73">
        <v>1.0</v>
      </c>
      <c r="E12" s="72" t="s">
        <v>92</v>
      </c>
      <c r="F12" s="58">
        <v>-1.296743063932448</v>
      </c>
      <c r="G12" s="67">
        <v>2830.0</v>
      </c>
      <c r="H12" s="73">
        <v>1.0</v>
      </c>
      <c r="I12" s="72" t="s">
        <v>54</v>
      </c>
      <c r="J12" s="58">
        <v>-0.1877682403433484</v>
      </c>
      <c r="K12" s="67">
        <v>7710.0</v>
      </c>
      <c r="L12" s="73">
        <v>2.8</v>
      </c>
    </row>
    <row r="13" ht="16.5" customHeight="1">
      <c r="A13" s="72" t="s">
        <v>116</v>
      </c>
      <c r="B13" s="58">
        <v>-1.098096632503663</v>
      </c>
      <c r="C13" s="67">
        <v>1240.0</v>
      </c>
      <c r="D13" s="73">
        <v>1.1</v>
      </c>
      <c r="E13" s="72" t="s">
        <v>76</v>
      </c>
      <c r="F13" s="58">
        <v>-0.10471204188480833</v>
      </c>
      <c r="G13" s="67">
        <v>10810.0</v>
      </c>
      <c r="H13" s="73">
        <v>1.0</v>
      </c>
      <c r="I13" s="60"/>
      <c r="J13" s="61"/>
    </row>
    <row r="14" ht="16.5" customHeight="1">
      <c r="A14" s="72" t="s">
        <v>100</v>
      </c>
      <c r="B14" s="58">
        <v>-0.8146639511201696</v>
      </c>
      <c r="C14" s="67">
        <v>3450.0</v>
      </c>
      <c r="D14" s="73">
        <v>2.0</v>
      </c>
      <c r="F14" s="24"/>
      <c r="G14" s="74"/>
      <c r="J14" s="24"/>
    </row>
    <row r="15" ht="16.5" customHeight="1">
      <c r="A15" s="45" t="s">
        <v>134</v>
      </c>
      <c r="B15" s="58">
        <v>-0.20840569642236445</v>
      </c>
      <c r="C15" s="67">
        <v>11350.0</v>
      </c>
      <c r="D15" s="73">
        <v>1.2</v>
      </c>
      <c r="E15" s="15"/>
      <c r="F15" s="24"/>
      <c r="G15" s="74"/>
      <c r="J15" s="24"/>
    </row>
    <row r="16" ht="16.5" customHeight="1">
      <c r="B16" s="24"/>
      <c r="C16" s="24"/>
      <c r="D16" s="24"/>
      <c r="E16" s="15"/>
      <c r="F16" s="24"/>
      <c r="G16" s="24"/>
      <c r="J16" s="24"/>
    </row>
    <row r="17" ht="16.5" customHeight="1">
      <c r="B17" s="24"/>
      <c r="C17" s="24"/>
      <c r="D17" s="24"/>
      <c r="E17" s="15"/>
      <c r="F17" s="24"/>
      <c r="G17" s="24"/>
      <c r="J17" s="24"/>
    </row>
    <row r="18" ht="16.5" customHeight="1">
      <c r="B18" s="24"/>
      <c r="C18" s="24"/>
      <c r="D18" s="24"/>
      <c r="E18" s="15"/>
      <c r="F18" s="24"/>
      <c r="G18" s="24"/>
      <c r="J18" s="24"/>
    </row>
    <row r="19" ht="16.5" customHeight="1">
      <c r="B19" s="24"/>
      <c r="C19" s="24"/>
      <c r="D19" s="24"/>
      <c r="E19" s="15"/>
      <c r="F19" s="24"/>
      <c r="G19" s="24"/>
      <c r="J19" s="24"/>
    </row>
    <row r="20" ht="16.5" customHeight="1">
      <c r="B20" s="24"/>
      <c r="C20" s="24"/>
      <c r="D20" s="24"/>
      <c r="E20" s="15"/>
      <c r="F20" s="24"/>
      <c r="G20" s="24"/>
      <c r="J20" s="24"/>
    </row>
    <row r="21" ht="16.5" customHeight="1">
      <c r="B21" s="24"/>
      <c r="C21" s="24"/>
      <c r="D21" s="24"/>
      <c r="E21" s="15"/>
      <c r="F21" s="24"/>
      <c r="G21" s="24"/>
      <c r="J21" s="24"/>
    </row>
    <row r="22" ht="16.5" customHeight="1">
      <c r="B22" s="24"/>
      <c r="C22" s="24"/>
      <c r="D22" s="24"/>
      <c r="E22" s="15"/>
      <c r="F22" s="24"/>
      <c r="G22" s="24"/>
      <c r="J22" s="24"/>
    </row>
    <row r="23" ht="16.5" customHeight="1">
      <c r="B23" s="24"/>
      <c r="C23" s="24"/>
      <c r="D23" s="24"/>
      <c r="E23" s="15"/>
      <c r="F23" s="24"/>
      <c r="G23" s="24"/>
      <c r="J23" s="24"/>
    </row>
    <row r="24" ht="16.5" customHeight="1">
      <c r="B24" s="24"/>
      <c r="C24" s="24"/>
      <c r="D24" s="24"/>
      <c r="E24" s="15"/>
      <c r="F24" s="24"/>
      <c r="G24" s="24"/>
      <c r="J24" s="24"/>
    </row>
    <row r="25" ht="16.5" customHeight="1">
      <c r="B25" s="24"/>
      <c r="C25" s="24"/>
      <c r="D25" s="24"/>
      <c r="F25" s="24"/>
      <c r="G25" s="24"/>
      <c r="J25" s="24"/>
    </row>
    <row r="26" ht="16.5" customHeight="1">
      <c r="B26" s="24"/>
      <c r="C26" s="24"/>
      <c r="D26" s="24"/>
      <c r="F26" s="24"/>
      <c r="G26" s="24"/>
      <c r="J26" s="24"/>
    </row>
    <row r="27" ht="16.5" customHeight="1">
      <c r="B27" s="24"/>
      <c r="C27" s="24"/>
      <c r="D27" s="24"/>
      <c r="F27" s="24"/>
      <c r="G27" s="24"/>
      <c r="J27" s="24"/>
    </row>
    <row r="28" ht="16.5" customHeight="1">
      <c r="B28" s="24"/>
      <c r="C28" s="24"/>
      <c r="D28" s="24"/>
      <c r="F28" s="24"/>
      <c r="G28" s="24"/>
      <c r="J28" s="24"/>
    </row>
    <row r="29" ht="16.5" customHeight="1">
      <c r="B29" s="24"/>
      <c r="C29" s="24"/>
      <c r="D29" s="24"/>
      <c r="F29" s="24"/>
      <c r="G29" s="24"/>
      <c r="J29" s="24"/>
    </row>
    <row r="30" ht="16.5" customHeight="1">
      <c r="B30" s="24"/>
      <c r="C30" s="24"/>
      <c r="D30" s="24"/>
      <c r="F30" s="24"/>
      <c r="G30" s="24"/>
      <c r="J30" s="24"/>
    </row>
    <row r="31" ht="16.5" customHeight="1">
      <c r="B31" s="24"/>
      <c r="C31" s="24"/>
      <c r="D31" s="24"/>
      <c r="F31" s="24"/>
      <c r="G31" s="24"/>
      <c r="J31" s="24"/>
    </row>
    <row r="32" ht="16.5" customHeight="1">
      <c r="B32" s="24"/>
      <c r="C32" s="24"/>
      <c r="D32" s="24"/>
      <c r="F32" s="24"/>
      <c r="G32" s="24"/>
      <c r="J32" s="24"/>
    </row>
    <row r="33" ht="16.5" customHeight="1">
      <c r="B33" s="24"/>
      <c r="C33" s="24"/>
      <c r="D33" s="24"/>
      <c r="F33" s="24"/>
      <c r="G33" s="24"/>
      <c r="J33" s="24"/>
    </row>
    <row r="34" ht="16.5" customHeight="1">
      <c r="B34" s="24"/>
      <c r="C34" s="24"/>
      <c r="D34" s="24"/>
      <c r="F34" s="24"/>
      <c r="G34" s="24"/>
      <c r="J34" s="24"/>
    </row>
    <row r="35" ht="16.5" customHeight="1">
      <c r="B35" s="24"/>
      <c r="C35" s="24"/>
      <c r="D35" s="24"/>
      <c r="F35" s="24"/>
      <c r="G35" s="24"/>
      <c r="J35" s="24"/>
    </row>
    <row r="36" ht="16.5" customHeight="1">
      <c r="B36" s="24"/>
      <c r="C36" s="24"/>
      <c r="D36" s="24"/>
      <c r="F36" s="24"/>
      <c r="G36" s="24"/>
      <c r="J36" s="24"/>
    </row>
    <row r="37" ht="16.5" customHeight="1">
      <c r="B37" s="24"/>
      <c r="C37" s="24"/>
      <c r="D37" s="24"/>
      <c r="F37" s="24"/>
      <c r="G37" s="24"/>
      <c r="J37" s="24"/>
    </row>
    <row r="38" ht="16.5" customHeight="1">
      <c r="B38" s="24"/>
      <c r="C38" s="24"/>
      <c r="D38" s="24"/>
      <c r="F38" s="24"/>
      <c r="G38" s="24"/>
      <c r="J38" s="24"/>
    </row>
    <row r="39" ht="16.5" customHeight="1">
      <c r="B39" s="24"/>
      <c r="C39" s="24"/>
      <c r="D39" s="24"/>
      <c r="F39" s="24"/>
      <c r="G39" s="24"/>
      <c r="J39" s="24"/>
    </row>
    <row r="40" ht="16.5" customHeight="1">
      <c r="B40" s="24"/>
      <c r="C40" s="24"/>
      <c r="D40" s="24"/>
      <c r="F40" s="24"/>
      <c r="G40" s="24"/>
      <c r="J40" s="24"/>
    </row>
    <row r="41" ht="16.5" customHeight="1">
      <c r="B41" s="24"/>
      <c r="C41" s="24"/>
      <c r="D41" s="24"/>
      <c r="F41" s="24"/>
      <c r="G41" s="24"/>
      <c r="J41" s="24"/>
    </row>
    <row r="42" ht="16.5" customHeight="1">
      <c r="B42" s="24"/>
      <c r="C42" s="24"/>
      <c r="D42" s="24"/>
      <c r="F42" s="24"/>
      <c r="G42" s="24"/>
      <c r="J42" s="24"/>
    </row>
    <row r="43" ht="16.5" customHeight="1">
      <c r="B43" s="24"/>
      <c r="C43" s="24"/>
      <c r="D43" s="24"/>
      <c r="F43" s="24"/>
      <c r="G43" s="24"/>
      <c r="J43" s="24"/>
    </row>
    <row r="44" ht="16.5" customHeight="1">
      <c r="B44" s="24"/>
      <c r="C44" s="24"/>
      <c r="D44" s="24"/>
      <c r="F44" s="24"/>
      <c r="G44" s="24"/>
      <c r="J44" s="24"/>
    </row>
    <row r="45" ht="16.5" customHeight="1">
      <c r="B45" s="24"/>
      <c r="C45" s="24"/>
      <c r="D45" s="24"/>
      <c r="F45" s="24"/>
      <c r="G45" s="24"/>
      <c r="J45" s="24"/>
    </row>
    <row r="46" ht="16.5" customHeight="1">
      <c r="B46" s="24"/>
      <c r="C46" s="24"/>
      <c r="D46" s="24"/>
      <c r="F46" s="24"/>
      <c r="G46" s="24"/>
      <c r="J46" s="24"/>
    </row>
    <row r="47" ht="16.5" customHeight="1">
      <c r="B47" s="24"/>
      <c r="C47" s="24"/>
      <c r="D47" s="24"/>
      <c r="F47" s="24"/>
      <c r="G47" s="24"/>
      <c r="J47" s="24"/>
    </row>
    <row r="48" ht="16.5" customHeight="1">
      <c r="B48" s="24"/>
      <c r="C48" s="24"/>
      <c r="D48" s="24"/>
      <c r="F48" s="24"/>
      <c r="G48" s="24"/>
      <c r="J48" s="24"/>
    </row>
    <row r="49" ht="16.5" customHeight="1">
      <c r="B49" s="24"/>
      <c r="C49" s="24"/>
      <c r="D49" s="24"/>
      <c r="F49" s="24"/>
      <c r="G49" s="24"/>
      <c r="J49" s="24"/>
    </row>
    <row r="50" ht="16.5" customHeight="1">
      <c r="B50" s="24"/>
      <c r="C50" s="24"/>
      <c r="D50" s="24"/>
      <c r="F50" s="24"/>
      <c r="G50" s="24"/>
      <c r="J50" s="24"/>
    </row>
    <row r="51" ht="16.5" customHeight="1">
      <c r="B51" s="24"/>
      <c r="C51" s="24"/>
      <c r="D51" s="24"/>
      <c r="F51" s="24"/>
      <c r="G51" s="24"/>
      <c r="J51" s="24"/>
    </row>
    <row r="52" ht="16.5" customHeight="1">
      <c r="B52" s="24"/>
      <c r="C52" s="24"/>
      <c r="D52" s="24"/>
      <c r="F52" s="24"/>
      <c r="G52" s="24"/>
      <c r="J52" s="24"/>
    </row>
    <row r="53" ht="16.5" customHeight="1">
      <c r="B53" s="24"/>
      <c r="C53" s="24"/>
      <c r="D53" s="24"/>
      <c r="F53" s="24"/>
      <c r="G53" s="24"/>
      <c r="J53" s="24"/>
    </row>
    <row r="54" ht="16.5" customHeight="1">
      <c r="B54" s="24"/>
      <c r="C54" s="24"/>
      <c r="D54" s="24"/>
      <c r="F54" s="24"/>
      <c r="G54" s="24"/>
      <c r="J54" s="24"/>
    </row>
    <row r="55" ht="16.5" customHeight="1">
      <c r="B55" s="24"/>
      <c r="C55" s="24"/>
      <c r="D55" s="24"/>
      <c r="F55" s="24"/>
      <c r="G55" s="24"/>
      <c r="J55" s="24"/>
    </row>
    <row r="56" ht="16.5" customHeight="1">
      <c r="B56" s="24"/>
      <c r="C56" s="24"/>
      <c r="D56" s="24"/>
      <c r="F56" s="24"/>
      <c r="G56" s="24"/>
      <c r="J56" s="24"/>
    </row>
    <row r="57" ht="16.5" customHeight="1">
      <c r="B57" s="24"/>
      <c r="C57" s="24"/>
      <c r="D57" s="24"/>
      <c r="F57" s="24"/>
      <c r="G57" s="24"/>
      <c r="J57" s="24"/>
    </row>
    <row r="58" ht="16.5" customHeight="1">
      <c r="B58" s="24"/>
      <c r="C58" s="24"/>
      <c r="D58" s="24"/>
      <c r="F58" s="24"/>
      <c r="G58" s="24"/>
      <c r="J58" s="24"/>
    </row>
    <row r="59" ht="16.5" customHeight="1">
      <c r="B59" s="24"/>
      <c r="C59" s="24"/>
      <c r="D59" s="24"/>
      <c r="F59" s="24"/>
      <c r="G59" s="24"/>
      <c r="J59" s="24"/>
    </row>
    <row r="60" ht="16.5" customHeight="1">
      <c r="B60" s="24"/>
      <c r="C60" s="24"/>
      <c r="D60" s="24"/>
      <c r="F60" s="24"/>
      <c r="G60" s="24"/>
      <c r="J60" s="24"/>
    </row>
    <row r="61" ht="16.5" customHeight="1">
      <c r="B61" s="24"/>
      <c r="C61" s="24"/>
      <c r="D61" s="24"/>
      <c r="F61" s="24"/>
      <c r="G61" s="24"/>
      <c r="J61" s="24"/>
    </row>
    <row r="62" ht="16.5" customHeight="1">
      <c r="B62" s="24"/>
      <c r="C62" s="24"/>
      <c r="D62" s="24"/>
      <c r="F62" s="24"/>
      <c r="G62" s="24"/>
      <c r="J62" s="24"/>
    </row>
    <row r="63" ht="16.5" customHeight="1">
      <c r="B63" s="24"/>
      <c r="C63" s="24"/>
      <c r="D63" s="24"/>
      <c r="F63" s="24"/>
      <c r="G63" s="24"/>
      <c r="J63" s="24"/>
    </row>
    <row r="64" ht="16.5" customHeight="1">
      <c r="B64" s="24"/>
      <c r="C64" s="24"/>
      <c r="D64" s="24"/>
      <c r="F64" s="24"/>
      <c r="G64" s="24"/>
      <c r="J64" s="24"/>
    </row>
    <row r="65" ht="16.5" customHeight="1">
      <c r="B65" s="24"/>
      <c r="C65" s="24"/>
      <c r="D65" s="24"/>
      <c r="F65" s="24"/>
      <c r="G65" s="24"/>
      <c r="J65" s="24"/>
    </row>
    <row r="66" ht="16.5" customHeight="1">
      <c r="B66" s="24"/>
      <c r="C66" s="24"/>
      <c r="D66" s="24"/>
      <c r="F66" s="24"/>
      <c r="G66" s="24"/>
      <c r="J66" s="24"/>
    </row>
    <row r="67" ht="16.5" customHeight="1">
      <c r="B67" s="24"/>
      <c r="C67" s="24"/>
      <c r="D67" s="24"/>
      <c r="F67" s="24"/>
      <c r="G67" s="24"/>
      <c r="J67" s="24"/>
    </row>
    <row r="68" ht="16.5" customHeight="1">
      <c r="B68" s="24"/>
      <c r="C68" s="24"/>
      <c r="D68" s="24"/>
      <c r="F68" s="24"/>
      <c r="G68" s="24"/>
      <c r="J68" s="24"/>
    </row>
    <row r="69" ht="16.5" customHeight="1">
      <c r="B69" s="24"/>
      <c r="C69" s="24"/>
      <c r="D69" s="24"/>
      <c r="F69" s="24"/>
      <c r="G69" s="24"/>
      <c r="J69" s="24"/>
    </row>
    <row r="70" ht="16.5" customHeight="1">
      <c r="B70" s="24"/>
      <c r="C70" s="24"/>
      <c r="D70" s="24"/>
      <c r="F70" s="24"/>
      <c r="G70" s="24"/>
      <c r="J70" s="24"/>
    </row>
    <row r="71" ht="16.5" customHeight="1">
      <c r="B71" s="24"/>
      <c r="C71" s="24"/>
      <c r="D71" s="24"/>
      <c r="F71" s="24"/>
      <c r="G71" s="24"/>
      <c r="J71" s="24"/>
    </row>
    <row r="72" ht="16.5" customHeight="1">
      <c r="B72" s="24"/>
      <c r="C72" s="24"/>
      <c r="D72" s="24"/>
      <c r="F72" s="24"/>
      <c r="G72" s="24"/>
      <c r="J72" s="24"/>
    </row>
    <row r="73" ht="16.5" customHeight="1">
      <c r="B73" s="24"/>
      <c r="C73" s="24"/>
      <c r="D73" s="24"/>
      <c r="F73" s="24"/>
      <c r="G73" s="24"/>
      <c r="J73" s="24"/>
    </row>
    <row r="74" ht="16.5" customHeight="1">
      <c r="B74" s="24"/>
      <c r="C74" s="24"/>
      <c r="D74" s="24"/>
      <c r="F74" s="24"/>
      <c r="G74" s="24"/>
      <c r="J74" s="24"/>
    </row>
    <row r="75" ht="16.5" customHeight="1">
      <c r="B75" s="24"/>
      <c r="C75" s="24"/>
      <c r="D75" s="24"/>
      <c r="F75" s="24"/>
      <c r="G75" s="24"/>
      <c r="J75" s="24"/>
    </row>
    <row r="76" ht="16.5" customHeight="1">
      <c r="B76" s="24"/>
      <c r="C76" s="24"/>
      <c r="D76" s="24"/>
      <c r="F76" s="24"/>
      <c r="G76" s="24"/>
      <c r="J76" s="24"/>
    </row>
    <row r="77" ht="16.5" customHeight="1">
      <c r="B77" s="24"/>
      <c r="C77" s="24"/>
      <c r="D77" s="24"/>
      <c r="F77" s="24"/>
      <c r="G77" s="24"/>
      <c r="J77" s="24"/>
    </row>
    <row r="78" ht="16.5" customHeight="1">
      <c r="B78" s="24"/>
      <c r="C78" s="24"/>
      <c r="D78" s="24"/>
      <c r="F78" s="24"/>
      <c r="G78" s="24"/>
      <c r="J78" s="24"/>
    </row>
    <row r="79" ht="16.5" customHeight="1">
      <c r="B79" s="24"/>
      <c r="C79" s="24"/>
      <c r="D79" s="24"/>
      <c r="F79" s="24"/>
      <c r="G79" s="24"/>
      <c r="J79" s="24"/>
    </row>
    <row r="80" ht="16.5" customHeight="1">
      <c r="B80" s="24"/>
      <c r="C80" s="24"/>
      <c r="D80" s="24"/>
      <c r="F80" s="24"/>
      <c r="G80" s="24"/>
      <c r="J80" s="24"/>
    </row>
    <row r="81" ht="16.5" customHeight="1">
      <c r="B81" s="24"/>
      <c r="C81" s="24"/>
      <c r="D81" s="24"/>
      <c r="F81" s="24"/>
      <c r="G81" s="24"/>
      <c r="J81" s="24"/>
    </row>
    <row r="82" ht="16.5" customHeight="1">
      <c r="B82" s="24"/>
      <c r="C82" s="24"/>
      <c r="D82" s="24"/>
      <c r="F82" s="24"/>
      <c r="G82" s="24"/>
      <c r="J82" s="24"/>
    </row>
    <row r="83" ht="16.5" customHeight="1">
      <c r="B83" s="24"/>
      <c r="C83" s="24"/>
      <c r="D83" s="24"/>
      <c r="F83" s="24"/>
      <c r="G83" s="24"/>
      <c r="J83" s="24"/>
    </row>
    <row r="84" ht="16.5" customHeight="1">
      <c r="B84" s="24"/>
      <c r="C84" s="24"/>
      <c r="D84" s="24"/>
      <c r="F84" s="24"/>
      <c r="G84" s="24"/>
      <c r="J84" s="24"/>
    </row>
    <row r="85" ht="16.5" customHeight="1">
      <c r="B85" s="24"/>
      <c r="C85" s="24"/>
      <c r="D85" s="24"/>
      <c r="F85" s="24"/>
      <c r="G85" s="24"/>
      <c r="J85" s="24"/>
    </row>
    <row r="86" ht="16.5" customHeight="1">
      <c r="B86" s="24"/>
      <c r="C86" s="24"/>
      <c r="D86" s="24"/>
      <c r="F86" s="24"/>
      <c r="G86" s="24"/>
      <c r="J86" s="24"/>
    </row>
    <row r="87" ht="16.5" customHeight="1">
      <c r="B87" s="24"/>
      <c r="C87" s="24"/>
      <c r="D87" s="24"/>
      <c r="F87" s="24"/>
      <c r="G87" s="24"/>
      <c r="J87" s="24"/>
    </row>
    <row r="88" ht="16.5" customHeight="1">
      <c r="B88" s="24"/>
      <c r="C88" s="24"/>
      <c r="D88" s="24"/>
      <c r="F88" s="24"/>
      <c r="G88" s="24"/>
      <c r="J88" s="24"/>
    </row>
    <row r="89" ht="16.5" customHeight="1">
      <c r="B89" s="24"/>
      <c r="C89" s="24"/>
      <c r="D89" s="24"/>
      <c r="F89" s="24"/>
      <c r="G89" s="24"/>
      <c r="J89" s="24"/>
    </row>
    <row r="90" ht="16.5" customHeight="1">
      <c r="B90" s="24"/>
      <c r="C90" s="24"/>
      <c r="D90" s="24"/>
      <c r="F90" s="24"/>
      <c r="G90" s="24"/>
      <c r="J90" s="24"/>
    </row>
    <row r="91" ht="16.5" customHeight="1">
      <c r="B91" s="24"/>
      <c r="C91" s="24"/>
      <c r="D91" s="24"/>
      <c r="F91" s="24"/>
      <c r="G91" s="24"/>
      <c r="J91" s="24"/>
    </row>
    <row r="92" ht="16.5" customHeight="1">
      <c r="B92" s="24"/>
      <c r="C92" s="24"/>
      <c r="D92" s="24"/>
      <c r="F92" s="24"/>
      <c r="G92" s="24"/>
      <c r="J92" s="24"/>
    </row>
    <row r="93" ht="16.5" customHeight="1">
      <c r="B93" s="24"/>
      <c r="C93" s="24"/>
      <c r="D93" s="24"/>
      <c r="F93" s="24"/>
      <c r="G93" s="24"/>
      <c r="J93" s="24"/>
    </row>
    <row r="94" ht="16.5" customHeight="1">
      <c r="B94" s="24"/>
      <c r="C94" s="24"/>
      <c r="D94" s="24"/>
      <c r="F94" s="24"/>
      <c r="G94" s="24"/>
      <c r="J94" s="24"/>
    </row>
    <row r="95" ht="16.5" customHeight="1">
      <c r="B95" s="24"/>
      <c r="C95" s="24"/>
      <c r="D95" s="24"/>
      <c r="F95" s="24"/>
      <c r="G95" s="24"/>
      <c r="J95" s="24"/>
    </row>
    <row r="96" ht="16.5" customHeight="1">
      <c r="B96" s="24"/>
      <c r="C96" s="24"/>
      <c r="D96" s="24"/>
      <c r="F96" s="24"/>
      <c r="G96" s="24"/>
      <c r="J96" s="24"/>
    </row>
    <row r="97" ht="16.5" customHeight="1">
      <c r="B97" s="24"/>
      <c r="C97" s="24"/>
      <c r="D97" s="24"/>
      <c r="F97" s="24"/>
      <c r="G97" s="24"/>
      <c r="J97" s="24"/>
    </row>
    <row r="98" ht="16.5" customHeight="1">
      <c r="B98" s="24"/>
      <c r="C98" s="24"/>
      <c r="D98" s="24"/>
      <c r="F98" s="24"/>
      <c r="G98" s="24"/>
      <c r="J98" s="24"/>
    </row>
    <row r="99" ht="16.5" customHeight="1">
      <c r="B99" s="24"/>
      <c r="C99" s="24"/>
      <c r="D99" s="24"/>
      <c r="F99" s="24"/>
      <c r="G99" s="24"/>
      <c r="J99" s="24"/>
    </row>
    <row r="100" ht="16.5" customHeight="1">
      <c r="B100" s="24"/>
      <c r="C100" s="24"/>
      <c r="D100" s="24"/>
      <c r="F100" s="24"/>
      <c r="G100" s="24"/>
      <c r="J100" s="24"/>
    </row>
    <row r="101" ht="16.5" customHeight="1">
      <c r="B101" s="24"/>
      <c r="C101" s="24"/>
      <c r="D101" s="24"/>
      <c r="F101" s="24"/>
      <c r="G101" s="24"/>
      <c r="J101" s="24"/>
    </row>
    <row r="102" ht="16.5" customHeight="1">
      <c r="B102" s="24"/>
      <c r="C102" s="24"/>
      <c r="D102" s="24"/>
      <c r="F102" s="24"/>
      <c r="G102" s="24"/>
      <c r="J102" s="24"/>
    </row>
    <row r="103" ht="16.5" customHeight="1">
      <c r="B103" s="24"/>
      <c r="C103" s="24"/>
      <c r="D103" s="24"/>
      <c r="F103" s="24"/>
      <c r="G103" s="24"/>
      <c r="J103" s="24"/>
    </row>
    <row r="104" ht="16.5" customHeight="1">
      <c r="B104" s="24"/>
      <c r="C104" s="24"/>
      <c r="D104" s="24"/>
      <c r="F104" s="24"/>
      <c r="G104" s="24"/>
      <c r="J104" s="24"/>
    </row>
    <row r="105" ht="16.5" customHeight="1">
      <c r="B105" s="24"/>
      <c r="C105" s="24"/>
      <c r="D105" s="24"/>
      <c r="F105" s="24"/>
      <c r="G105" s="24"/>
      <c r="J105" s="24"/>
    </row>
    <row r="106" ht="16.5" customHeight="1">
      <c r="B106" s="24"/>
      <c r="C106" s="24"/>
      <c r="D106" s="24"/>
      <c r="F106" s="24"/>
      <c r="G106" s="24"/>
      <c r="J106" s="24"/>
    </row>
    <row r="107" ht="16.5" customHeight="1">
      <c r="B107" s="24"/>
      <c r="C107" s="24"/>
      <c r="D107" s="24"/>
      <c r="F107" s="24"/>
      <c r="G107" s="24"/>
      <c r="J107" s="24"/>
    </row>
    <row r="108" ht="16.5" customHeight="1">
      <c r="B108" s="24"/>
      <c r="C108" s="24"/>
      <c r="D108" s="24"/>
      <c r="F108" s="24"/>
      <c r="G108" s="24"/>
      <c r="J108" s="24"/>
    </row>
    <row r="109" ht="16.5" customHeight="1">
      <c r="B109" s="24"/>
      <c r="C109" s="24"/>
      <c r="D109" s="24"/>
      <c r="F109" s="24"/>
      <c r="G109" s="24"/>
      <c r="J109" s="24"/>
    </row>
    <row r="110" ht="16.5" customHeight="1">
      <c r="B110" s="24"/>
      <c r="C110" s="24"/>
      <c r="D110" s="24"/>
      <c r="F110" s="24"/>
      <c r="G110" s="24"/>
      <c r="J110" s="24"/>
    </row>
    <row r="111" ht="16.5" customHeight="1">
      <c r="B111" s="24"/>
      <c r="C111" s="24"/>
      <c r="D111" s="24"/>
      <c r="F111" s="24"/>
      <c r="G111" s="24"/>
      <c r="J111" s="24"/>
    </row>
    <row r="112" ht="16.5" customHeight="1">
      <c r="B112" s="24"/>
      <c r="C112" s="24"/>
      <c r="D112" s="24"/>
      <c r="F112" s="24"/>
      <c r="G112" s="24"/>
      <c r="J112" s="24"/>
    </row>
    <row r="113" ht="16.5" customHeight="1">
      <c r="B113" s="24"/>
      <c r="C113" s="24"/>
      <c r="D113" s="24"/>
      <c r="F113" s="24"/>
      <c r="G113" s="24"/>
      <c r="J113" s="24"/>
    </row>
    <row r="114" ht="16.5" customHeight="1">
      <c r="B114" s="24"/>
      <c r="C114" s="24"/>
      <c r="D114" s="24"/>
      <c r="F114" s="24"/>
      <c r="G114" s="24"/>
      <c r="J114" s="24"/>
    </row>
    <row r="115" ht="16.5" customHeight="1">
      <c r="B115" s="24"/>
      <c r="C115" s="24"/>
      <c r="D115" s="24"/>
      <c r="F115" s="24"/>
      <c r="G115" s="24"/>
      <c r="J115" s="24"/>
    </row>
    <row r="116" ht="16.5" customHeight="1">
      <c r="B116" s="24"/>
      <c r="C116" s="24"/>
      <c r="D116" s="24"/>
      <c r="F116" s="24"/>
      <c r="G116" s="24"/>
      <c r="J116" s="24"/>
    </row>
    <row r="117" ht="16.5" customHeight="1">
      <c r="B117" s="24"/>
      <c r="C117" s="24"/>
      <c r="D117" s="24"/>
      <c r="F117" s="24"/>
      <c r="G117" s="24"/>
      <c r="J117" s="24"/>
    </row>
    <row r="118" ht="16.5" customHeight="1">
      <c r="B118" s="24"/>
      <c r="C118" s="24"/>
      <c r="D118" s="24"/>
      <c r="F118" s="24"/>
      <c r="G118" s="24"/>
      <c r="J118" s="24"/>
    </row>
    <row r="119" ht="16.5" customHeight="1">
      <c r="B119" s="24"/>
      <c r="C119" s="24"/>
      <c r="D119" s="24"/>
      <c r="F119" s="24"/>
      <c r="G119" s="24"/>
      <c r="J119" s="24"/>
    </row>
    <row r="120" ht="16.5" customHeight="1">
      <c r="B120" s="24"/>
      <c r="C120" s="24"/>
      <c r="D120" s="24"/>
      <c r="F120" s="24"/>
      <c r="G120" s="24"/>
      <c r="J120" s="24"/>
    </row>
    <row r="121" ht="16.5" customHeight="1">
      <c r="B121" s="24"/>
      <c r="C121" s="24"/>
      <c r="D121" s="24"/>
      <c r="F121" s="24"/>
      <c r="G121" s="24"/>
      <c r="J121" s="24"/>
    </row>
    <row r="122" ht="16.5" customHeight="1">
      <c r="B122" s="24"/>
      <c r="C122" s="24"/>
      <c r="D122" s="24"/>
      <c r="F122" s="24"/>
      <c r="G122" s="24"/>
      <c r="J122" s="24"/>
    </row>
    <row r="123" ht="16.5" customHeight="1">
      <c r="B123" s="24"/>
      <c r="C123" s="24"/>
      <c r="D123" s="24"/>
      <c r="F123" s="24"/>
      <c r="G123" s="24"/>
      <c r="J123" s="24"/>
    </row>
    <row r="124" ht="16.5" customHeight="1">
      <c r="B124" s="24"/>
      <c r="C124" s="24"/>
      <c r="D124" s="24"/>
      <c r="F124" s="24"/>
      <c r="G124" s="24"/>
      <c r="J124" s="24"/>
    </row>
    <row r="125" ht="16.5" customHeight="1">
      <c r="B125" s="24"/>
      <c r="C125" s="24"/>
      <c r="D125" s="24"/>
      <c r="F125" s="24"/>
      <c r="G125" s="24"/>
      <c r="J125" s="24"/>
    </row>
    <row r="126" ht="16.5" customHeight="1">
      <c r="B126" s="24"/>
      <c r="C126" s="24"/>
      <c r="D126" s="24"/>
      <c r="F126" s="24"/>
      <c r="G126" s="24"/>
      <c r="J126" s="24"/>
    </row>
    <row r="127" ht="16.5" customHeight="1">
      <c r="B127" s="24"/>
      <c r="C127" s="24"/>
      <c r="D127" s="24"/>
      <c r="F127" s="24"/>
      <c r="G127" s="24"/>
      <c r="J127" s="24"/>
    </row>
    <row r="128" ht="16.5" customHeight="1">
      <c r="B128" s="24"/>
      <c r="C128" s="24"/>
      <c r="D128" s="24"/>
      <c r="F128" s="24"/>
      <c r="G128" s="24"/>
      <c r="J128" s="24"/>
    </row>
    <row r="129" ht="16.5" customHeight="1">
      <c r="B129" s="24"/>
      <c r="C129" s="24"/>
      <c r="D129" s="24"/>
      <c r="F129" s="24"/>
      <c r="G129" s="24"/>
      <c r="J129" s="24"/>
    </row>
    <row r="130" ht="16.5" customHeight="1">
      <c r="B130" s="24"/>
      <c r="C130" s="24"/>
      <c r="D130" s="24"/>
      <c r="F130" s="24"/>
      <c r="G130" s="24"/>
      <c r="J130" s="24"/>
    </row>
    <row r="131" ht="16.5" customHeight="1">
      <c r="B131" s="24"/>
      <c r="C131" s="24"/>
      <c r="D131" s="24"/>
      <c r="F131" s="24"/>
      <c r="G131" s="24"/>
      <c r="J131" s="24"/>
    </row>
    <row r="132" ht="16.5" customHeight="1">
      <c r="B132" s="24"/>
      <c r="C132" s="24"/>
      <c r="D132" s="24"/>
      <c r="F132" s="24"/>
      <c r="G132" s="24"/>
      <c r="J132" s="24"/>
    </row>
    <row r="133" ht="16.5" customHeight="1">
      <c r="B133" s="24"/>
      <c r="C133" s="24"/>
      <c r="D133" s="24"/>
      <c r="F133" s="24"/>
      <c r="G133" s="24"/>
      <c r="J133" s="24"/>
    </row>
    <row r="134" ht="16.5" customHeight="1">
      <c r="B134" s="24"/>
      <c r="C134" s="24"/>
      <c r="D134" s="24"/>
      <c r="F134" s="24"/>
      <c r="G134" s="24"/>
      <c r="J134" s="24"/>
    </row>
    <row r="135" ht="16.5" customHeight="1">
      <c r="B135" s="24"/>
      <c r="C135" s="24"/>
      <c r="D135" s="24"/>
      <c r="F135" s="24"/>
      <c r="G135" s="24"/>
      <c r="J135" s="24"/>
    </row>
    <row r="136" ht="16.5" customHeight="1">
      <c r="B136" s="24"/>
      <c r="C136" s="24"/>
      <c r="D136" s="24"/>
      <c r="F136" s="24"/>
      <c r="G136" s="24"/>
      <c r="J136" s="24"/>
    </row>
    <row r="137" ht="16.5" customHeight="1">
      <c r="B137" s="24"/>
      <c r="C137" s="24"/>
      <c r="D137" s="24"/>
      <c r="F137" s="24"/>
      <c r="G137" s="24"/>
      <c r="J137" s="24"/>
    </row>
    <row r="138" ht="16.5" customHeight="1">
      <c r="B138" s="24"/>
      <c r="C138" s="24"/>
      <c r="D138" s="24"/>
      <c r="F138" s="24"/>
      <c r="G138" s="24"/>
      <c r="J138" s="24"/>
    </row>
    <row r="139" ht="16.5" customHeight="1">
      <c r="B139" s="24"/>
      <c r="C139" s="24"/>
      <c r="D139" s="24"/>
      <c r="F139" s="24"/>
      <c r="G139" s="24"/>
      <c r="J139" s="24"/>
    </row>
    <row r="140" ht="16.5" customHeight="1">
      <c r="B140" s="24"/>
      <c r="C140" s="24"/>
      <c r="D140" s="24"/>
      <c r="F140" s="24"/>
      <c r="G140" s="24"/>
      <c r="J140" s="24"/>
    </row>
    <row r="141" ht="16.5" customHeight="1">
      <c r="B141" s="24"/>
      <c r="C141" s="24"/>
      <c r="D141" s="24"/>
      <c r="F141" s="24"/>
      <c r="G141" s="24"/>
      <c r="J141" s="24"/>
    </row>
    <row r="142" ht="16.5" customHeight="1">
      <c r="B142" s="24"/>
      <c r="C142" s="24"/>
      <c r="D142" s="24"/>
      <c r="F142" s="24"/>
      <c r="G142" s="24"/>
      <c r="J142" s="24"/>
    </row>
    <row r="143" ht="16.5" customHeight="1">
      <c r="B143" s="24"/>
      <c r="C143" s="24"/>
      <c r="D143" s="24"/>
      <c r="F143" s="24"/>
      <c r="G143" s="24"/>
      <c r="J143" s="24"/>
    </row>
    <row r="144" ht="16.5" customHeight="1">
      <c r="B144" s="24"/>
      <c r="C144" s="24"/>
      <c r="D144" s="24"/>
      <c r="F144" s="24"/>
      <c r="G144" s="24"/>
      <c r="J144" s="24"/>
    </row>
    <row r="145" ht="16.5" customHeight="1">
      <c r="B145" s="24"/>
      <c r="C145" s="24"/>
      <c r="D145" s="24"/>
      <c r="F145" s="24"/>
      <c r="G145" s="24"/>
      <c r="J145" s="24"/>
    </row>
    <row r="146" ht="16.5" customHeight="1">
      <c r="B146" s="24"/>
      <c r="C146" s="24"/>
      <c r="D146" s="24"/>
      <c r="F146" s="24"/>
      <c r="G146" s="24"/>
      <c r="J146" s="24"/>
    </row>
    <row r="147" ht="16.5" customHeight="1">
      <c r="B147" s="24"/>
      <c r="C147" s="24"/>
      <c r="D147" s="24"/>
      <c r="F147" s="24"/>
      <c r="G147" s="24"/>
      <c r="J147" s="24"/>
    </row>
    <row r="148" ht="16.5" customHeight="1">
      <c r="B148" s="24"/>
      <c r="C148" s="24"/>
      <c r="D148" s="24"/>
      <c r="F148" s="24"/>
      <c r="G148" s="24"/>
      <c r="J148" s="24"/>
    </row>
    <row r="149" ht="16.5" customHeight="1">
      <c r="B149" s="24"/>
      <c r="C149" s="24"/>
      <c r="D149" s="24"/>
      <c r="F149" s="24"/>
      <c r="G149" s="24"/>
      <c r="J149" s="24"/>
    </row>
    <row r="150" ht="16.5" customHeight="1">
      <c r="B150" s="24"/>
      <c r="C150" s="24"/>
      <c r="D150" s="24"/>
      <c r="F150" s="24"/>
      <c r="G150" s="24"/>
      <c r="J150" s="24"/>
    </row>
    <row r="151" ht="16.5" customHeight="1">
      <c r="B151" s="24"/>
      <c r="C151" s="24"/>
      <c r="D151" s="24"/>
      <c r="F151" s="24"/>
      <c r="G151" s="24"/>
      <c r="J151" s="24"/>
    </row>
    <row r="152" ht="16.5" customHeight="1">
      <c r="B152" s="24"/>
      <c r="C152" s="24"/>
      <c r="D152" s="24"/>
      <c r="F152" s="24"/>
      <c r="G152" s="24"/>
      <c r="J152" s="24"/>
    </row>
    <row r="153" ht="16.5" customHeight="1">
      <c r="B153" s="24"/>
      <c r="C153" s="24"/>
      <c r="D153" s="24"/>
      <c r="F153" s="24"/>
      <c r="G153" s="24"/>
      <c r="J153" s="24"/>
    </row>
    <row r="154" ht="16.5" customHeight="1">
      <c r="B154" s="24"/>
      <c r="C154" s="24"/>
      <c r="D154" s="24"/>
      <c r="F154" s="24"/>
      <c r="G154" s="24"/>
      <c r="J154" s="24"/>
    </row>
    <row r="155" ht="16.5" customHeight="1">
      <c r="B155" s="24"/>
      <c r="C155" s="24"/>
      <c r="D155" s="24"/>
      <c r="F155" s="24"/>
      <c r="G155" s="24"/>
      <c r="J155" s="24"/>
    </row>
    <row r="156" ht="16.5" customHeight="1">
      <c r="B156" s="24"/>
      <c r="C156" s="24"/>
      <c r="D156" s="24"/>
      <c r="F156" s="24"/>
      <c r="G156" s="24"/>
      <c r="J156" s="24"/>
    </row>
    <row r="157" ht="16.5" customHeight="1">
      <c r="B157" s="24"/>
      <c r="C157" s="24"/>
      <c r="D157" s="24"/>
      <c r="F157" s="24"/>
      <c r="G157" s="24"/>
      <c r="J157" s="24"/>
    </row>
    <row r="158" ht="16.5" customHeight="1">
      <c r="B158" s="24"/>
      <c r="C158" s="24"/>
      <c r="D158" s="24"/>
      <c r="F158" s="24"/>
      <c r="G158" s="24"/>
      <c r="J158" s="24"/>
    </row>
    <row r="159" ht="16.5" customHeight="1">
      <c r="B159" s="24"/>
      <c r="C159" s="24"/>
      <c r="D159" s="24"/>
      <c r="F159" s="24"/>
      <c r="G159" s="24"/>
      <c r="J159" s="24"/>
    </row>
    <row r="160" ht="16.5" customHeight="1">
      <c r="B160" s="24"/>
      <c r="C160" s="24"/>
      <c r="D160" s="24"/>
      <c r="F160" s="24"/>
      <c r="G160" s="24"/>
      <c r="J160" s="24"/>
    </row>
    <row r="161" ht="16.5" customHeight="1">
      <c r="B161" s="24"/>
      <c r="C161" s="24"/>
      <c r="D161" s="24"/>
      <c r="F161" s="24"/>
      <c r="G161" s="24"/>
      <c r="J161" s="24"/>
    </row>
    <row r="162" ht="16.5" customHeight="1">
      <c r="B162" s="24"/>
      <c r="C162" s="24"/>
      <c r="D162" s="24"/>
      <c r="F162" s="24"/>
      <c r="G162" s="24"/>
      <c r="J162" s="24"/>
    </row>
    <row r="163" ht="16.5" customHeight="1">
      <c r="B163" s="24"/>
      <c r="C163" s="24"/>
      <c r="D163" s="24"/>
      <c r="F163" s="24"/>
      <c r="G163" s="24"/>
      <c r="J163" s="24"/>
    </row>
    <row r="164" ht="16.5" customHeight="1">
      <c r="B164" s="24"/>
      <c r="C164" s="24"/>
      <c r="D164" s="24"/>
      <c r="F164" s="24"/>
      <c r="G164" s="24"/>
      <c r="J164" s="24"/>
    </row>
    <row r="165" ht="16.5" customHeight="1">
      <c r="B165" s="24"/>
      <c r="C165" s="24"/>
      <c r="D165" s="24"/>
      <c r="F165" s="24"/>
      <c r="G165" s="24"/>
      <c r="J165" s="24"/>
    </row>
    <row r="166" ht="16.5" customHeight="1">
      <c r="B166" s="24"/>
      <c r="C166" s="24"/>
      <c r="D166" s="24"/>
      <c r="F166" s="24"/>
      <c r="G166" s="24"/>
      <c r="J166" s="24"/>
    </row>
    <row r="167" ht="16.5" customHeight="1">
      <c r="B167" s="24"/>
      <c r="C167" s="24"/>
      <c r="D167" s="24"/>
      <c r="F167" s="24"/>
      <c r="G167" s="24"/>
      <c r="J167" s="24"/>
    </row>
    <row r="168" ht="16.5" customHeight="1">
      <c r="B168" s="24"/>
      <c r="C168" s="24"/>
      <c r="D168" s="24"/>
      <c r="F168" s="24"/>
      <c r="G168" s="24"/>
      <c r="J168" s="24"/>
    </row>
    <row r="169" ht="16.5" customHeight="1">
      <c r="B169" s="24"/>
      <c r="C169" s="24"/>
      <c r="D169" s="24"/>
      <c r="F169" s="24"/>
      <c r="G169" s="24"/>
      <c r="J169" s="24"/>
    </row>
    <row r="170" ht="16.5" customHeight="1">
      <c r="B170" s="24"/>
      <c r="C170" s="24"/>
      <c r="D170" s="24"/>
      <c r="F170" s="24"/>
      <c r="G170" s="24"/>
      <c r="J170" s="24"/>
    </row>
    <row r="171" ht="16.5" customHeight="1">
      <c r="B171" s="24"/>
      <c r="C171" s="24"/>
      <c r="D171" s="24"/>
      <c r="F171" s="24"/>
      <c r="G171" s="24"/>
      <c r="J171" s="24"/>
    </row>
    <row r="172" ht="16.5" customHeight="1">
      <c r="B172" s="24"/>
      <c r="C172" s="24"/>
      <c r="D172" s="24"/>
      <c r="F172" s="24"/>
      <c r="G172" s="24"/>
      <c r="J172" s="24"/>
    </row>
    <row r="173" ht="16.5" customHeight="1">
      <c r="B173" s="24"/>
      <c r="C173" s="24"/>
      <c r="D173" s="24"/>
      <c r="F173" s="24"/>
      <c r="G173" s="24"/>
      <c r="J173" s="24"/>
    </row>
    <row r="174" ht="16.5" customHeight="1">
      <c r="B174" s="24"/>
      <c r="C174" s="24"/>
      <c r="D174" s="24"/>
      <c r="F174" s="24"/>
      <c r="G174" s="24"/>
      <c r="J174" s="24"/>
    </row>
    <row r="175" ht="16.5" customHeight="1">
      <c r="B175" s="24"/>
      <c r="C175" s="24"/>
      <c r="D175" s="24"/>
      <c r="F175" s="24"/>
      <c r="G175" s="24"/>
      <c r="J175" s="24"/>
    </row>
    <row r="176" ht="16.5" customHeight="1">
      <c r="B176" s="24"/>
      <c r="C176" s="24"/>
      <c r="D176" s="24"/>
      <c r="F176" s="24"/>
      <c r="G176" s="24"/>
      <c r="J176" s="24"/>
    </row>
    <row r="177" ht="16.5" customHeight="1">
      <c r="B177" s="24"/>
      <c r="C177" s="24"/>
      <c r="D177" s="24"/>
      <c r="F177" s="24"/>
      <c r="G177" s="24"/>
      <c r="J177" s="24"/>
    </row>
    <row r="178" ht="16.5" customHeight="1">
      <c r="B178" s="24"/>
      <c r="C178" s="24"/>
      <c r="D178" s="24"/>
      <c r="F178" s="24"/>
      <c r="G178" s="24"/>
      <c r="J178" s="24"/>
    </row>
    <row r="179" ht="16.5" customHeight="1">
      <c r="B179" s="24"/>
      <c r="C179" s="24"/>
      <c r="D179" s="24"/>
      <c r="F179" s="24"/>
      <c r="G179" s="24"/>
      <c r="J179" s="24"/>
    </row>
    <row r="180" ht="16.5" customHeight="1">
      <c r="B180" s="24"/>
      <c r="C180" s="24"/>
      <c r="D180" s="24"/>
      <c r="F180" s="24"/>
      <c r="G180" s="24"/>
      <c r="J180" s="24"/>
    </row>
    <row r="181" ht="16.5" customHeight="1">
      <c r="B181" s="24"/>
      <c r="C181" s="24"/>
      <c r="D181" s="24"/>
      <c r="F181" s="24"/>
      <c r="G181" s="24"/>
      <c r="J181" s="24"/>
    </row>
    <row r="182" ht="16.5" customHeight="1">
      <c r="B182" s="24"/>
      <c r="C182" s="24"/>
      <c r="D182" s="24"/>
      <c r="F182" s="24"/>
      <c r="G182" s="24"/>
      <c r="J182" s="24"/>
    </row>
    <row r="183" ht="16.5" customHeight="1">
      <c r="B183" s="24"/>
      <c r="C183" s="24"/>
      <c r="D183" s="24"/>
      <c r="F183" s="24"/>
      <c r="G183" s="24"/>
      <c r="J183" s="24"/>
    </row>
    <row r="184" ht="16.5" customHeight="1">
      <c r="B184" s="24"/>
      <c r="C184" s="24"/>
      <c r="D184" s="24"/>
      <c r="F184" s="24"/>
      <c r="G184" s="24"/>
      <c r="J184" s="24"/>
    </row>
    <row r="185" ht="16.5" customHeight="1">
      <c r="B185" s="24"/>
      <c r="C185" s="24"/>
      <c r="D185" s="24"/>
      <c r="F185" s="24"/>
      <c r="G185" s="24"/>
      <c r="J185" s="24"/>
    </row>
    <row r="186" ht="16.5" customHeight="1">
      <c r="B186" s="24"/>
      <c r="C186" s="24"/>
      <c r="D186" s="24"/>
      <c r="F186" s="24"/>
      <c r="G186" s="24"/>
      <c r="J186" s="24"/>
    </row>
    <row r="187" ht="16.5" customHeight="1">
      <c r="B187" s="24"/>
      <c r="C187" s="24"/>
      <c r="D187" s="24"/>
      <c r="F187" s="24"/>
      <c r="G187" s="24"/>
      <c r="J187" s="24"/>
    </row>
    <row r="188" ht="16.5" customHeight="1">
      <c r="B188" s="24"/>
      <c r="C188" s="24"/>
      <c r="D188" s="24"/>
      <c r="F188" s="24"/>
      <c r="G188" s="24"/>
      <c r="J188" s="24"/>
    </row>
    <row r="189" ht="16.5" customHeight="1">
      <c r="B189" s="24"/>
      <c r="C189" s="24"/>
      <c r="D189" s="24"/>
      <c r="F189" s="24"/>
      <c r="G189" s="24"/>
      <c r="J189" s="24"/>
    </row>
    <row r="190" ht="16.5" customHeight="1">
      <c r="B190" s="24"/>
      <c r="C190" s="24"/>
      <c r="D190" s="24"/>
      <c r="F190" s="24"/>
      <c r="G190" s="24"/>
      <c r="J190" s="24"/>
    </row>
    <row r="191" ht="16.5" customHeight="1">
      <c r="B191" s="24"/>
      <c r="C191" s="24"/>
      <c r="D191" s="24"/>
      <c r="F191" s="24"/>
      <c r="G191" s="24"/>
      <c r="J191" s="24"/>
    </row>
    <row r="192" ht="16.5" customHeight="1">
      <c r="B192" s="24"/>
      <c r="C192" s="24"/>
      <c r="D192" s="24"/>
      <c r="F192" s="24"/>
      <c r="G192" s="24"/>
      <c r="J192" s="24"/>
    </row>
    <row r="193" ht="16.5" customHeight="1">
      <c r="B193" s="24"/>
      <c r="C193" s="24"/>
      <c r="D193" s="24"/>
      <c r="F193" s="24"/>
      <c r="G193" s="24"/>
      <c r="J193" s="24"/>
    </row>
    <row r="194" ht="16.5" customHeight="1">
      <c r="B194" s="24"/>
      <c r="C194" s="24"/>
      <c r="D194" s="24"/>
      <c r="F194" s="24"/>
      <c r="G194" s="24"/>
      <c r="J194" s="24"/>
    </row>
    <row r="195" ht="16.5" customHeight="1">
      <c r="B195" s="24"/>
      <c r="C195" s="24"/>
      <c r="D195" s="24"/>
      <c r="F195" s="24"/>
      <c r="G195" s="24"/>
      <c r="J195" s="24"/>
    </row>
    <row r="196" ht="16.5" customHeight="1">
      <c r="B196" s="24"/>
      <c r="C196" s="24"/>
      <c r="D196" s="24"/>
      <c r="F196" s="24"/>
      <c r="G196" s="24"/>
      <c r="J196" s="24"/>
    </row>
    <row r="197" ht="16.5" customHeight="1">
      <c r="B197" s="24"/>
      <c r="C197" s="24"/>
      <c r="D197" s="24"/>
      <c r="F197" s="24"/>
      <c r="G197" s="24"/>
      <c r="J197" s="24"/>
    </row>
    <row r="198" ht="16.5" customHeight="1">
      <c r="B198" s="24"/>
      <c r="C198" s="24"/>
      <c r="D198" s="24"/>
      <c r="F198" s="24"/>
      <c r="G198" s="24"/>
      <c r="J198" s="24"/>
    </row>
    <row r="199" ht="16.5" customHeight="1">
      <c r="B199" s="24"/>
      <c r="C199" s="24"/>
      <c r="D199" s="24"/>
      <c r="F199" s="24"/>
      <c r="G199" s="24"/>
      <c r="J199" s="24"/>
    </row>
    <row r="200" ht="16.5" customHeight="1">
      <c r="B200" s="24"/>
      <c r="C200" s="24"/>
      <c r="D200" s="24"/>
      <c r="F200" s="24"/>
      <c r="G200" s="24"/>
      <c r="J200" s="24"/>
    </row>
    <row r="201" ht="16.5" customHeight="1">
      <c r="B201" s="24"/>
      <c r="C201" s="24"/>
      <c r="D201" s="24"/>
      <c r="F201" s="24"/>
      <c r="G201" s="24"/>
      <c r="J201" s="24"/>
    </row>
    <row r="202" ht="16.5" customHeight="1">
      <c r="B202" s="24"/>
      <c r="C202" s="24"/>
      <c r="D202" s="24"/>
      <c r="F202" s="24"/>
      <c r="G202" s="24"/>
      <c r="J202" s="24"/>
    </row>
    <row r="203" ht="16.5" customHeight="1">
      <c r="B203" s="24"/>
      <c r="C203" s="24"/>
      <c r="D203" s="24"/>
      <c r="F203" s="24"/>
      <c r="G203" s="24"/>
      <c r="J203" s="24"/>
    </row>
    <row r="204" ht="16.5" customHeight="1">
      <c r="B204" s="24"/>
      <c r="C204" s="24"/>
      <c r="D204" s="24"/>
      <c r="F204" s="24"/>
      <c r="G204" s="24"/>
      <c r="J204" s="24"/>
    </row>
    <row r="205" ht="16.5" customHeight="1">
      <c r="B205" s="24"/>
      <c r="C205" s="24"/>
      <c r="D205" s="24"/>
      <c r="F205" s="24"/>
      <c r="G205" s="24"/>
      <c r="J205" s="24"/>
    </row>
    <row r="206" ht="16.5" customHeight="1">
      <c r="B206" s="24"/>
      <c r="C206" s="24"/>
      <c r="D206" s="24"/>
      <c r="F206" s="24"/>
      <c r="G206" s="24"/>
      <c r="J206" s="24"/>
    </row>
    <row r="207" ht="16.5" customHeight="1">
      <c r="B207" s="24"/>
      <c r="C207" s="24"/>
      <c r="D207" s="24"/>
      <c r="F207" s="24"/>
      <c r="G207" s="24"/>
      <c r="J207" s="24"/>
    </row>
    <row r="208" ht="16.5" customHeight="1">
      <c r="B208" s="24"/>
      <c r="C208" s="24"/>
      <c r="D208" s="24"/>
      <c r="F208" s="24"/>
      <c r="G208" s="24"/>
      <c r="J208" s="24"/>
    </row>
    <row r="209" ht="16.5" customHeight="1">
      <c r="B209" s="24"/>
      <c r="C209" s="24"/>
      <c r="D209" s="24"/>
      <c r="F209" s="24"/>
      <c r="G209" s="24"/>
      <c r="J209" s="24"/>
    </row>
    <row r="210" ht="16.5" customHeight="1">
      <c r="B210" s="24"/>
      <c r="C210" s="24"/>
      <c r="D210" s="24"/>
      <c r="F210" s="24"/>
      <c r="G210" s="24"/>
      <c r="J210" s="24"/>
    </row>
    <row r="211" ht="16.5" customHeight="1">
      <c r="B211" s="24"/>
      <c r="C211" s="24"/>
      <c r="D211" s="24"/>
      <c r="F211" s="24"/>
      <c r="G211" s="24"/>
      <c r="J211" s="24"/>
    </row>
    <row r="212" ht="16.5" customHeight="1">
      <c r="B212" s="24"/>
      <c r="C212" s="24"/>
      <c r="D212" s="24"/>
      <c r="F212" s="24"/>
      <c r="G212" s="24"/>
      <c r="J212" s="24"/>
    </row>
    <row r="213" ht="16.5" customHeight="1">
      <c r="B213" s="24"/>
      <c r="C213" s="24"/>
      <c r="D213" s="24"/>
      <c r="F213" s="24"/>
      <c r="G213" s="24"/>
      <c r="J213" s="24"/>
    </row>
    <row r="214" ht="16.5" customHeight="1">
      <c r="B214" s="24"/>
      <c r="C214" s="24"/>
      <c r="D214" s="24"/>
      <c r="F214" s="24"/>
      <c r="G214" s="24"/>
      <c r="J214" s="24"/>
    </row>
    <row r="215" ht="16.5" customHeight="1">
      <c r="B215" s="24"/>
      <c r="C215" s="24"/>
      <c r="D215" s="24"/>
      <c r="F215" s="24"/>
      <c r="G215" s="24"/>
      <c r="J215" s="24"/>
    </row>
    <row r="216" ht="16.5" customHeight="1">
      <c r="B216" s="24"/>
      <c r="C216" s="24"/>
      <c r="D216" s="24"/>
      <c r="F216" s="24"/>
      <c r="G216" s="24"/>
      <c r="J216" s="24"/>
    </row>
    <row r="217" ht="16.5" customHeight="1">
      <c r="B217" s="24"/>
      <c r="C217" s="24"/>
      <c r="D217" s="24"/>
      <c r="F217" s="24"/>
      <c r="G217" s="24"/>
      <c r="J217" s="24"/>
    </row>
    <row r="218" ht="16.5" customHeight="1">
      <c r="B218" s="24"/>
      <c r="C218" s="24"/>
      <c r="D218" s="24"/>
      <c r="F218" s="24"/>
      <c r="G218" s="24"/>
      <c r="J218" s="24"/>
    </row>
    <row r="219" ht="16.5" customHeight="1">
      <c r="B219" s="24"/>
      <c r="C219" s="24"/>
      <c r="D219" s="24"/>
      <c r="F219" s="24"/>
      <c r="G219" s="24"/>
      <c r="J219" s="24"/>
    </row>
    <row r="220" ht="16.5" customHeight="1">
      <c r="B220" s="24"/>
      <c r="C220" s="24"/>
      <c r="D220" s="24"/>
      <c r="F220" s="24"/>
      <c r="G220" s="24"/>
      <c r="J220" s="24"/>
    </row>
    <row r="221" ht="16.5" customHeight="1">
      <c r="B221" s="24"/>
      <c r="C221" s="24"/>
      <c r="D221" s="24"/>
      <c r="F221" s="24"/>
      <c r="G221" s="24"/>
      <c r="J221" s="24"/>
    </row>
    <row r="222" ht="16.5" customHeight="1">
      <c r="B222" s="24"/>
      <c r="C222" s="24"/>
      <c r="D222" s="24"/>
      <c r="F222" s="24"/>
      <c r="G222" s="24"/>
      <c r="J222" s="24"/>
    </row>
    <row r="223" ht="16.5" customHeight="1">
      <c r="B223" s="24"/>
      <c r="C223" s="24"/>
      <c r="D223" s="24"/>
      <c r="F223" s="24"/>
      <c r="G223" s="24"/>
      <c r="J223" s="24"/>
    </row>
    <row r="224" ht="16.5" customHeight="1">
      <c r="B224" s="24"/>
      <c r="C224" s="24"/>
      <c r="D224" s="24"/>
      <c r="F224" s="24"/>
      <c r="G224" s="24"/>
      <c r="J224" s="24"/>
    </row>
    <row r="225" ht="16.5" customHeight="1">
      <c r="B225" s="24"/>
      <c r="C225" s="24"/>
      <c r="D225" s="24"/>
      <c r="F225" s="24"/>
      <c r="G225" s="24"/>
      <c r="J225" s="24"/>
    </row>
    <row r="226" ht="16.5" customHeight="1">
      <c r="B226" s="24"/>
      <c r="C226" s="24"/>
      <c r="D226" s="24"/>
      <c r="F226" s="24"/>
      <c r="G226" s="24"/>
      <c r="J226" s="24"/>
    </row>
    <row r="227" ht="16.5" customHeight="1">
      <c r="B227" s="24"/>
      <c r="C227" s="24"/>
      <c r="D227" s="24"/>
      <c r="F227" s="24"/>
      <c r="G227" s="24"/>
      <c r="J227" s="24"/>
    </row>
    <row r="228" ht="16.5" customHeight="1">
      <c r="B228" s="24"/>
      <c r="C228" s="24"/>
      <c r="D228" s="24"/>
      <c r="F228" s="24"/>
      <c r="G228" s="24"/>
      <c r="J228" s="24"/>
    </row>
    <row r="229" ht="16.5" customHeight="1">
      <c r="B229" s="24"/>
      <c r="C229" s="24"/>
      <c r="D229" s="24"/>
      <c r="F229" s="24"/>
      <c r="G229" s="24"/>
      <c r="J229" s="24"/>
    </row>
    <row r="230" ht="16.5" customHeight="1">
      <c r="B230" s="24"/>
      <c r="C230" s="24"/>
      <c r="D230" s="24"/>
      <c r="F230" s="24"/>
      <c r="G230" s="24"/>
      <c r="J230" s="24"/>
    </row>
    <row r="231" ht="16.5" customHeight="1">
      <c r="B231" s="24"/>
      <c r="C231" s="24"/>
      <c r="D231" s="24"/>
      <c r="F231" s="24"/>
      <c r="G231" s="24"/>
      <c r="J231" s="24"/>
    </row>
    <row r="232" ht="16.5" customHeight="1">
      <c r="B232" s="24"/>
      <c r="C232" s="24"/>
      <c r="D232" s="24"/>
      <c r="F232" s="24"/>
      <c r="G232" s="24"/>
      <c r="J232" s="24"/>
    </row>
    <row r="233" ht="16.5" customHeight="1">
      <c r="B233" s="24"/>
      <c r="C233" s="24"/>
      <c r="D233" s="24"/>
      <c r="F233" s="24"/>
      <c r="G233" s="24"/>
      <c r="J233" s="24"/>
    </row>
    <row r="234" ht="16.5" customHeight="1">
      <c r="B234" s="24"/>
      <c r="C234" s="24"/>
      <c r="D234" s="24"/>
      <c r="F234" s="24"/>
      <c r="G234" s="24"/>
      <c r="J234" s="24"/>
    </row>
    <row r="235" ht="16.5" customHeight="1">
      <c r="B235" s="24"/>
      <c r="C235" s="24"/>
      <c r="D235" s="24"/>
      <c r="F235" s="24"/>
      <c r="G235" s="24"/>
      <c r="J235" s="24"/>
    </row>
    <row r="236" ht="16.5" customHeight="1">
      <c r="B236" s="24"/>
      <c r="C236" s="24"/>
      <c r="D236" s="24"/>
      <c r="F236" s="24"/>
      <c r="G236" s="24"/>
      <c r="J236" s="24"/>
    </row>
    <row r="237" ht="16.5" customHeight="1">
      <c r="B237" s="24"/>
      <c r="C237" s="24"/>
      <c r="D237" s="24"/>
      <c r="F237" s="24"/>
      <c r="G237" s="24"/>
      <c r="J237" s="24"/>
    </row>
    <row r="238" ht="16.5" customHeight="1">
      <c r="B238" s="24"/>
      <c r="C238" s="24"/>
      <c r="D238" s="24"/>
      <c r="F238" s="24"/>
      <c r="G238" s="24"/>
      <c r="J238" s="24"/>
    </row>
    <row r="239" ht="16.5" customHeight="1">
      <c r="B239" s="24"/>
      <c r="C239" s="24"/>
      <c r="D239" s="24"/>
      <c r="F239" s="24"/>
      <c r="G239" s="24"/>
      <c r="J239" s="24"/>
    </row>
    <row r="240" ht="16.5" customHeight="1">
      <c r="B240" s="24"/>
      <c r="C240" s="24"/>
      <c r="D240" s="24"/>
      <c r="F240" s="24"/>
      <c r="G240" s="24"/>
      <c r="J240" s="24"/>
    </row>
    <row r="241" ht="16.5" customHeight="1">
      <c r="B241" s="24"/>
      <c r="C241" s="24"/>
      <c r="D241" s="24"/>
      <c r="F241" s="24"/>
      <c r="G241" s="24"/>
      <c r="J241" s="24"/>
    </row>
    <row r="242" ht="16.5" customHeight="1">
      <c r="B242" s="24"/>
      <c r="C242" s="24"/>
      <c r="D242" s="24"/>
      <c r="F242" s="24"/>
      <c r="G242" s="24"/>
      <c r="J242" s="24"/>
    </row>
    <row r="243" ht="16.5" customHeight="1">
      <c r="B243" s="24"/>
      <c r="C243" s="24"/>
      <c r="D243" s="24"/>
      <c r="F243" s="24"/>
      <c r="G243" s="24"/>
      <c r="J243" s="24"/>
    </row>
    <row r="244" ht="16.5" customHeight="1">
      <c r="B244" s="24"/>
      <c r="C244" s="24"/>
      <c r="D244" s="24"/>
      <c r="F244" s="24"/>
      <c r="G244" s="24"/>
      <c r="J244" s="24"/>
    </row>
    <row r="245" ht="16.5" customHeight="1">
      <c r="B245" s="24"/>
      <c r="C245" s="24"/>
      <c r="D245" s="24"/>
      <c r="F245" s="24"/>
      <c r="G245" s="24"/>
      <c r="J245" s="24"/>
    </row>
    <row r="246" ht="16.5" customHeight="1">
      <c r="B246" s="24"/>
      <c r="C246" s="24"/>
      <c r="D246" s="24"/>
      <c r="F246" s="24"/>
      <c r="G246" s="24"/>
      <c r="J246" s="24"/>
    </row>
    <row r="247" ht="16.5" customHeight="1">
      <c r="B247" s="24"/>
      <c r="C247" s="24"/>
      <c r="D247" s="24"/>
      <c r="F247" s="24"/>
      <c r="G247" s="24"/>
      <c r="J247" s="24"/>
    </row>
    <row r="248" ht="16.5" customHeight="1">
      <c r="B248" s="24"/>
      <c r="C248" s="24"/>
      <c r="D248" s="24"/>
      <c r="F248" s="24"/>
      <c r="G248" s="24"/>
      <c r="J248" s="24"/>
    </row>
    <row r="249" ht="16.5" customHeight="1">
      <c r="B249" s="24"/>
      <c r="C249" s="24"/>
      <c r="D249" s="24"/>
      <c r="F249" s="24"/>
      <c r="G249" s="24"/>
      <c r="J249" s="24"/>
    </row>
    <row r="250" ht="16.5" customHeight="1">
      <c r="B250" s="24"/>
      <c r="C250" s="24"/>
      <c r="D250" s="24"/>
      <c r="F250" s="24"/>
      <c r="G250" s="24"/>
      <c r="J250" s="24"/>
    </row>
    <row r="251" ht="16.5" customHeight="1">
      <c r="B251" s="24"/>
      <c r="C251" s="24"/>
      <c r="D251" s="24"/>
      <c r="F251" s="24"/>
      <c r="G251" s="24"/>
      <c r="J251" s="24"/>
    </row>
    <row r="252" ht="16.5" customHeight="1">
      <c r="B252" s="24"/>
      <c r="C252" s="24"/>
      <c r="D252" s="24"/>
      <c r="F252" s="24"/>
      <c r="G252" s="24"/>
      <c r="J252" s="24"/>
    </row>
    <row r="253" ht="16.5" customHeight="1">
      <c r="B253" s="24"/>
      <c r="C253" s="24"/>
      <c r="D253" s="24"/>
      <c r="F253" s="24"/>
      <c r="G253" s="24"/>
      <c r="J253" s="24"/>
    </row>
    <row r="254" ht="16.5" customHeight="1">
      <c r="B254" s="24"/>
      <c r="C254" s="24"/>
      <c r="D254" s="24"/>
      <c r="F254" s="24"/>
      <c r="G254" s="24"/>
      <c r="J254" s="24"/>
    </row>
    <row r="255" ht="16.5" customHeight="1">
      <c r="B255" s="24"/>
      <c r="C255" s="24"/>
      <c r="D255" s="24"/>
      <c r="F255" s="24"/>
      <c r="G255" s="24"/>
      <c r="J255" s="24"/>
    </row>
    <row r="256" ht="16.5" customHeight="1">
      <c r="B256" s="24"/>
      <c r="C256" s="24"/>
      <c r="D256" s="24"/>
      <c r="F256" s="24"/>
      <c r="G256" s="24"/>
      <c r="J256" s="24"/>
    </row>
    <row r="257" ht="16.5" customHeight="1">
      <c r="B257" s="24"/>
      <c r="C257" s="24"/>
      <c r="D257" s="24"/>
      <c r="F257" s="24"/>
      <c r="G257" s="24"/>
      <c r="J257" s="24"/>
    </row>
    <row r="258" ht="16.5" customHeight="1">
      <c r="B258" s="24"/>
      <c r="C258" s="24"/>
      <c r="D258" s="24"/>
      <c r="F258" s="24"/>
      <c r="G258" s="24"/>
      <c r="J258" s="24"/>
    </row>
    <row r="259" ht="16.5" customHeight="1">
      <c r="B259" s="24"/>
      <c r="C259" s="24"/>
      <c r="D259" s="24"/>
      <c r="F259" s="24"/>
      <c r="G259" s="24"/>
      <c r="J259" s="24"/>
    </row>
    <row r="260" ht="16.5" customHeight="1">
      <c r="B260" s="24"/>
      <c r="C260" s="24"/>
      <c r="D260" s="24"/>
      <c r="F260" s="24"/>
      <c r="G260" s="24"/>
      <c r="J260" s="24"/>
    </row>
    <row r="261" ht="16.5" customHeight="1">
      <c r="B261" s="24"/>
      <c r="C261" s="24"/>
      <c r="D261" s="24"/>
      <c r="F261" s="24"/>
      <c r="G261" s="24"/>
      <c r="J261" s="24"/>
    </row>
    <row r="262" ht="16.5" customHeight="1">
      <c r="B262" s="24"/>
      <c r="C262" s="24"/>
      <c r="D262" s="24"/>
      <c r="F262" s="24"/>
      <c r="G262" s="24"/>
      <c r="J262" s="24"/>
    </row>
    <row r="263" ht="16.5" customHeight="1">
      <c r="B263" s="24"/>
      <c r="C263" s="24"/>
      <c r="D263" s="24"/>
      <c r="F263" s="24"/>
      <c r="G263" s="24"/>
      <c r="J263" s="24"/>
    </row>
    <row r="264" ht="16.5" customHeight="1">
      <c r="B264" s="24"/>
      <c r="C264" s="24"/>
      <c r="D264" s="24"/>
      <c r="F264" s="24"/>
      <c r="G264" s="24"/>
      <c r="J264" s="24"/>
    </row>
    <row r="265" ht="16.5" customHeight="1">
      <c r="B265" s="24"/>
      <c r="C265" s="24"/>
      <c r="D265" s="24"/>
      <c r="F265" s="24"/>
      <c r="G265" s="24"/>
      <c r="J265" s="24"/>
    </row>
    <row r="266" ht="16.5" customHeight="1">
      <c r="B266" s="24"/>
      <c r="C266" s="24"/>
      <c r="D266" s="24"/>
      <c r="F266" s="24"/>
      <c r="G266" s="24"/>
      <c r="J266" s="24"/>
    </row>
    <row r="267" ht="16.5" customHeight="1">
      <c r="B267" s="24"/>
      <c r="C267" s="24"/>
      <c r="D267" s="24"/>
      <c r="F267" s="24"/>
      <c r="G267" s="24"/>
      <c r="J267" s="24"/>
    </row>
    <row r="268" ht="16.5" customHeight="1">
      <c r="B268" s="24"/>
      <c r="C268" s="24"/>
      <c r="D268" s="24"/>
      <c r="F268" s="24"/>
      <c r="G268" s="24"/>
      <c r="J268" s="24"/>
    </row>
    <row r="269" ht="16.5" customHeight="1">
      <c r="B269" s="24"/>
      <c r="C269" s="24"/>
      <c r="D269" s="24"/>
      <c r="F269" s="24"/>
      <c r="G269" s="24"/>
      <c r="J269" s="24"/>
    </row>
    <row r="270" ht="16.5" customHeight="1">
      <c r="B270" s="24"/>
      <c r="C270" s="24"/>
      <c r="D270" s="24"/>
      <c r="F270" s="24"/>
      <c r="G270" s="24"/>
      <c r="J270" s="24"/>
    </row>
    <row r="271" ht="16.5" customHeight="1">
      <c r="B271" s="24"/>
      <c r="C271" s="24"/>
      <c r="D271" s="24"/>
      <c r="F271" s="24"/>
      <c r="G271" s="24"/>
      <c r="J271" s="24"/>
    </row>
    <row r="272" ht="16.5" customHeight="1">
      <c r="B272" s="24"/>
      <c r="C272" s="24"/>
      <c r="D272" s="24"/>
      <c r="F272" s="24"/>
      <c r="G272" s="24"/>
      <c r="J272" s="24"/>
    </row>
    <row r="273" ht="16.5" customHeight="1">
      <c r="B273" s="24"/>
      <c r="C273" s="24"/>
      <c r="D273" s="24"/>
      <c r="F273" s="24"/>
      <c r="G273" s="24"/>
      <c r="J273" s="24"/>
    </row>
    <row r="274" ht="16.5" customHeight="1">
      <c r="B274" s="24"/>
      <c r="C274" s="24"/>
      <c r="D274" s="24"/>
      <c r="F274" s="24"/>
      <c r="G274" s="24"/>
      <c r="J274" s="24"/>
    </row>
    <row r="275" ht="16.5" customHeight="1">
      <c r="B275" s="24"/>
      <c r="C275" s="24"/>
      <c r="D275" s="24"/>
      <c r="F275" s="24"/>
      <c r="G275" s="24"/>
      <c r="J275" s="24"/>
    </row>
    <row r="276" ht="16.5" customHeight="1">
      <c r="B276" s="24"/>
      <c r="C276" s="24"/>
      <c r="D276" s="24"/>
      <c r="F276" s="24"/>
      <c r="G276" s="24"/>
      <c r="J276" s="24"/>
    </row>
    <row r="277" ht="16.5" customHeight="1">
      <c r="B277" s="24"/>
      <c r="C277" s="24"/>
      <c r="D277" s="24"/>
      <c r="F277" s="24"/>
      <c r="G277" s="24"/>
      <c r="J277" s="24"/>
    </row>
    <row r="278" ht="16.5" customHeight="1">
      <c r="B278" s="24"/>
      <c r="C278" s="24"/>
      <c r="D278" s="24"/>
      <c r="F278" s="24"/>
      <c r="G278" s="24"/>
      <c r="J278" s="24"/>
    </row>
    <row r="279" ht="16.5" customHeight="1">
      <c r="B279" s="24"/>
      <c r="C279" s="24"/>
      <c r="D279" s="24"/>
      <c r="F279" s="24"/>
      <c r="G279" s="24"/>
      <c r="J279" s="24"/>
    </row>
    <row r="280" ht="16.5" customHeight="1">
      <c r="B280" s="24"/>
      <c r="C280" s="24"/>
      <c r="D280" s="24"/>
      <c r="F280" s="24"/>
      <c r="G280" s="24"/>
      <c r="J280" s="24"/>
    </row>
    <row r="281" ht="16.5" customHeight="1">
      <c r="B281" s="24"/>
      <c r="C281" s="24"/>
      <c r="D281" s="24"/>
      <c r="F281" s="24"/>
      <c r="G281" s="24"/>
      <c r="J281" s="24"/>
    </row>
    <row r="282" ht="16.5" customHeight="1">
      <c r="B282" s="24"/>
      <c r="C282" s="24"/>
      <c r="D282" s="24"/>
      <c r="F282" s="24"/>
      <c r="G282" s="24"/>
      <c r="J282" s="24"/>
    </row>
    <row r="283" ht="16.5" customHeight="1">
      <c r="B283" s="24"/>
      <c r="C283" s="24"/>
      <c r="D283" s="24"/>
      <c r="F283" s="24"/>
      <c r="G283" s="24"/>
      <c r="J283" s="24"/>
    </row>
    <row r="284" ht="16.5" customHeight="1">
      <c r="B284" s="24"/>
      <c r="C284" s="24"/>
      <c r="D284" s="24"/>
      <c r="F284" s="24"/>
      <c r="G284" s="24"/>
      <c r="J284" s="24"/>
    </row>
    <row r="285" ht="16.5" customHeight="1">
      <c r="B285" s="24"/>
      <c r="C285" s="24"/>
      <c r="D285" s="24"/>
      <c r="F285" s="24"/>
      <c r="G285" s="24"/>
      <c r="J285" s="24"/>
    </row>
    <row r="286" ht="16.5" customHeight="1">
      <c r="B286" s="24"/>
      <c r="C286" s="24"/>
      <c r="D286" s="24"/>
      <c r="F286" s="24"/>
      <c r="G286" s="24"/>
      <c r="J286" s="24"/>
    </row>
    <row r="287" ht="16.5" customHeight="1">
      <c r="B287" s="24"/>
      <c r="C287" s="24"/>
      <c r="D287" s="24"/>
      <c r="F287" s="24"/>
      <c r="G287" s="24"/>
      <c r="J287" s="24"/>
    </row>
    <row r="288" ht="16.5" customHeight="1">
      <c r="B288" s="24"/>
      <c r="C288" s="24"/>
      <c r="D288" s="24"/>
      <c r="F288" s="24"/>
      <c r="G288" s="24"/>
      <c r="J288" s="24"/>
    </row>
    <row r="289" ht="16.5" customHeight="1">
      <c r="B289" s="24"/>
      <c r="C289" s="24"/>
      <c r="D289" s="24"/>
      <c r="F289" s="24"/>
      <c r="G289" s="24"/>
      <c r="J289" s="24"/>
    </row>
    <row r="290" ht="16.5" customHeight="1">
      <c r="B290" s="24"/>
      <c r="C290" s="24"/>
      <c r="D290" s="24"/>
      <c r="F290" s="24"/>
      <c r="G290" s="24"/>
      <c r="J290" s="24"/>
    </row>
    <row r="291" ht="16.5" customHeight="1">
      <c r="B291" s="24"/>
      <c r="C291" s="24"/>
      <c r="D291" s="24"/>
      <c r="F291" s="24"/>
      <c r="G291" s="24"/>
      <c r="J291" s="24"/>
    </row>
    <row r="292" ht="16.5" customHeight="1">
      <c r="B292" s="24"/>
      <c r="C292" s="24"/>
      <c r="D292" s="24"/>
      <c r="F292" s="24"/>
      <c r="G292" s="24"/>
      <c r="J292" s="24"/>
    </row>
    <row r="293" ht="16.5" customHeight="1">
      <c r="B293" s="24"/>
      <c r="C293" s="24"/>
      <c r="D293" s="24"/>
      <c r="F293" s="24"/>
      <c r="G293" s="24"/>
      <c r="J293" s="24"/>
    </row>
    <row r="294" ht="16.5" customHeight="1">
      <c r="B294" s="24"/>
      <c r="C294" s="24"/>
      <c r="D294" s="24"/>
      <c r="F294" s="24"/>
      <c r="G294" s="24"/>
      <c r="J294" s="24"/>
    </row>
    <row r="295" ht="16.5" customHeight="1">
      <c r="B295" s="24"/>
      <c r="C295" s="24"/>
      <c r="D295" s="24"/>
      <c r="F295" s="24"/>
      <c r="G295" s="24"/>
      <c r="J295" s="24"/>
    </row>
    <row r="296" ht="16.5" customHeight="1">
      <c r="B296" s="24"/>
      <c r="C296" s="24"/>
      <c r="D296" s="24"/>
      <c r="F296" s="24"/>
      <c r="G296" s="24"/>
      <c r="J296" s="24"/>
    </row>
    <row r="297" ht="16.5" customHeight="1">
      <c r="B297" s="24"/>
      <c r="C297" s="24"/>
      <c r="D297" s="24"/>
      <c r="F297" s="24"/>
      <c r="G297" s="24"/>
      <c r="J297" s="24"/>
    </row>
    <row r="298" ht="16.5" customHeight="1">
      <c r="B298" s="24"/>
      <c r="C298" s="24"/>
      <c r="D298" s="24"/>
      <c r="F298" s="24"/>
      <c r="G298" s="24"/>
      <c r="J298" s="24"/>
    </row>
    <row r="299" ht="16.5" customHeight="1">
      <c r="B299" s="24"/>
      <c r="C299" s="24"/>
      <c r="D299" s="24"/>
      <c r="F299" s="24"/>
      <c r="G299" s="24"/>
      <c r="J299" s="24"/>
    </row>
    <row r="300" ht="16.5" customHeight="1">
      <c r="B300" s="24"/>
      <c r="C300" s="24"/>
      <c r="D300" s="24"/>
      <c r="F300" s="24"/>
      <c r="G300" s="24"/>
      <c r="J300" s="24"/>
    </row>
    <row r="301" ht="16.5" customHeight="1">
      <c r="B301" s="24"/>
      <c r="C301" s="24"/>
      <c r="D301" s="24"/>
      <c r="F301" s="24"/>
      <c r="G301" s="24"/>
      <c r="J301" s="24"/>
    </row>
    <row r="302" ht="16.5" customHeight="1">
      <c r="B302" s="24"/>
      <c r="C302" s="24"/>
      <c r="D302" s="24"/>
      <c r="F302" s="24"/>
      <c r="G302" s="24"/>
      <c r="J302" s="24"/>
    </row>
    <row r="303" ht="16.5" customHeight="1">
      <c r="B303" s="24"/>
      <c r="C303" s="24"/>
      <c r="D303" s="24"/>
      <c r="F303" s="24"/>
      <c r="G303" s="24"/>
      <c r="J303" s="24"/>
    </row>
    <row r="304" ht="16.5" customHeight="1">
      <c r="B304" s="24"/>
      <c r="C304" s="24"/>
      <c r="D304" s="24"/>
      <c r="F304" s="24"/>
      <c r="G304" s="24"/>
      <c r="J304" s="24"/>
    </row>
    <row r="305" ht="16.5" customHeight="1">
      <c r="B305" s="24"/>
      <c r="C305" s="24"/>
      <c r="D305" s="24"/>
      <c r="F305" s="24"/>
      <c r="G305" s="24"/>
      <c r="J305" s="24"/>
    </row>
    <row r="306" ht="16.5" customHeight="1">
      <c r="B306" s="24"/>
      <c r="C306" s="24"/>
      <c r="D306" s="24"/>
      <c r="F306" s="24"/>
      <c r="G306" s="24"/>
      <c r="J306" s="24"/>
    </row>
    <row r="307" ht="16.5" customHeight="1">
      <c r="B307" s="24"/>
      <c r="C307" s="24"/>
      <c r="D307" s="24"/>
      <c r="F307" s="24"/>
      <c r="G307" s="24"/>
      <c r="J307" s="24"/>
    </row>
    <row r="308" ht="16.5" customHeight="1">
      <c r="B308" s="24"/>
      <c r="C308" s="24"/>
      <c r="D308" s="24"/>
      <c r="F308" s="24"/>
      <c r="G308" s="24"/>
      <c r="J308" s="24"/>
    </row>
    <row r="309" ht="16.5" customHeight="1">
      <c r="B309" s="24"/>
      <c r="C309" s="24"/>
      <c r="D309" s="24"/>
      <c r="F309" s="24"/>
      <c r="G309" s="24"/>
      <c r="J309" s="24"/>
    </row>
    <row r="310" ht="16.5" customHeight="1">
      <c r="B310" s="24"/>
      <c r="C310" s="24"/>
      <c r="D310" s="24"/>
      <c r="F310" s="24"/>
      <c r="G310" s="24"/>
      <c r="J310" s="24"/>
    </row>
    <row r="311" ht="16.5" customHeight="1">
      <c r="B311" s="24"/>
      <c r="C311" s="24"/>
      <c r="D311" s="24"/>
      <c r="F311" s="24"/>
      <c r="G311" s="24"/>
      <c r="J311" s="24"/>
    </row>
    <row r="312" ht="16.5" customHeight="1">
      <c r="B312" s="24"/>
      <c r="C312" s="24"/>
      <c r="D312" s="24"/>
      <c r="F312" s="24"/>
      <c r="G312" s="24"/>
      <c r="J312" s="24"/>
    </row>
    <row r="313" ht="16.5" customHeight="1">
      <c r="B313" s="24"/>
      <c r="C313" s="24"/>
      <c r="D313" s="24"/>
      <c r="F313" s="24"/>
      <c r="G313" s="24"/>
      <c r="J313" s="24"/>
    </row>
    <row r="314" ht="16.5" customHeight="1">
      <c r="B314" s="24"/>
      <c r="C314" s="24"/>
      <c r="D314" s="24"/>
      <c r="F314" s="24"/>
      <c r="G314" s="24"/>
      <c r="J314" s="24"/>
    </row>
    <row r="315" ht="16.5" customHeight="1">
      <c r="B315" s="24"/>
      <c r="C315" s="24"/>
      <c r="D315" s="24"/>
      <c r="F315" s="24"/>
      <c r="G315" s="24"/>
      <c r="J315" s="24"/>
    </row>
    <row r="316" ht="16.5" customHeight="1">
      <c r="B316" s="24"/>
      <c r="C316" s="24"/>
      <c r="D316" s="24"/>
      <c r="F316" s="24"/>
      <c r="G316" s="24"/>
      <c r="J316" s="24"/>
    </row>
    <row r="317" ht="16.5" customHeight="1">
      <c r="B317" s="24"/>
      <c r="C317" s="24"/>
      <c r="D317" s="24"/>
      <c r="F317" s="24"/>
      <c r="G317" s="24"/>
      <c r="J317" s="24"/>
    </row>
    <row r="318" ht="16.5" customHeight="1">
      <c r="B318" s="24"/>
      <c r="C318" s="24"/>
      <c r="D318" s="24"/>
      <c r="F318" s="24"/>
      <c r="G318" s="24"/>
      <c r="J318" s="24"/>
    </row>
    <row r="319" ht="16.5" customHeight="1">
      <c r="B319" s="24"/>
      <c r="C319" s="24"/>
      <c r="D319" s="24"/>
      <c r="F319" s="24"/>
      <c r="G319" s="24"/>
      <c r="J319" s="24"/>
    </row>
    <row r="320" ht="16.5" customHeight="1">
      <c r="B320" s="24"/>
      <c r="C320" s="24"/>
      <c r="D320" s="24"/>
      <c r="F320" s="24"/>
      <c r="G320" s="24"/>
      <c r="J320" s="24"/>
    </row>
    <row r="321" ht="16.5" customHeight="1">
      <c r="B321" s="24"/>
      <c r="C321" s="24"/>
      <c r="D321" s="24"/>
      <c r="F321" s="24"/>
      <c r="G321" s="24"/>
      <c r="J321" s="24"/>
    </row>
    <row r="322" ht="16.5" customHeight="1">
      <c r="B322" s="24"/>
      <c r="C322" s="24"/>
      <c r="D322" s="24"/>
      <c r="F322" s="24"/>
      <c r="G322" s="24"/>
      <c r="J322" s="24"/>
    </row>
    <row r="323" ht="16.5" customHeight="1">
      <c r="B323" s="24"/>
      <c r="C323" s="24"/>
      <c r="D323" s="24"/>
      <c r="F323" s="24"/>
      <c r="G323" s="24"/>
      <c r="J323" s="24"/>
    </row>
    <row r="324" ht="16.5" customHeight="1">
      <c r="B324" s="24"/>
      <c r="C324" s="24"/>
      <c r="D324" s="24"/>
      <c r="F324" s="24"/>
      <c r="G324" s="24"/>
      <c r="J324" s="24"/>
    </row>
    <row r="325" ht="16.5" customHeight="1">
      <c r="B325" s="24"/>
      <c r="C325" s="24"/>
      <c r="D325" s="24"/>
      <c r="F325" s="24"/>
      <c r="G325" s="24"/>
      <c r="J325" s="24"/>
    </row>
    <row r="326" ht="16.5" customHeight="1">
      <c r="B326" s="24"/>
      <c r="C326" s="24"/>
      <c r="D326" s="24"/>
      <c r="F326" s="24"/>
      <c r="G326" s="24"/>
      <c r="J326" s="24"/>
    </row>
    <row r="327" ht="16.5" customHeight="1">
      <c r="B327" s="24"/>
      <c r="C327" s="24"/>
      <c r="D327" s="24"/>
      <c r="F327" s="24"/>
      <c r="G327" s="24"/>
      <c r="J327" s="24"/>
    </row>
    <row r="328" ht="16.5" customHeight="1">
      <c r="B328" s="24"/>
      <c r="C328" s="24"/>
      <c r="D328" s="24"/>
      <c r="F328" s="24"/>
      <c r="G328" s="24"/>
      <c r="J328" s="24"/>
    </row>
    <row r="329" ht="16.5" customHeight="1">
      <c r="B329" s="24"/>
      <c r="C329" s="24"/>
      <c r="D329" s="24"/>
      <c r="F329" s="24"/>
      <c r="G329" s="24"/>
      <c r="J329" s="24"/>
    </row>
    <row r="330" ht="16.5" customHeight="1">
      <c r="B330" s="24"/>
      <c r="C330" s="24"/>
      <c r="D330" s="24"/>
      <c r="F330" s="24"/>
      <c r="G330" s="24"/>
      <c r="J330" s="24"/>
    </row>
    <row r="331" ht="16.5" customHeight="1">
      <c r="B331" s="24"/>
      <c r="C331" s="24"/>
      <c r="D331" s="24"/>
      <c r="F331" s="24"/>
      <c r="G331" s="24"/>
      <c r="J331" s="24"/>
    </row>
    <row r="332" ht="16.5" customHeight="1">
      <c r="B332" s="24"/>
      <c r="C332" s="24"/>
      <c r="D332" s="24"/>
      <c r="F332" s="24"/>
      <c r="G332" s="24"/>
      <c r="J332" s="24"/>
    </row>
    <row r="333" ht="16.5" customHeight="1">
      <c r="B333" s="24"/>
      <c r="C333" s="24"/>
      <c r="D333" s="24"/>
      <c r="F333" s="24"/>
      <c r="G333" s="24"/>
      <c r="J333" s="24"/>
    </row>
    <row r="334" ht="16.5" customHeight="1">
      <c r="B334" s="24"/>
      <c r="C334" s="24"/>
      <c r="D334" s="24"/>
      <c r="F334" s="24"/>
      <c r="G334" s="24"/>
      <c r="J334" s="24"/>
    </row>
    <row r="335" ht="16.5" customHeight="1">
      <c r="B335" s="24"/>
      <c r="C335" s="24"/>
      <c r="D335" s="24"/>
      <c r="F335" s="24"/>
      <c r="G335" s="24"/>
      <c r="J335" s="24"/>
    </row>
    <row r="336" ht="16.5" customHeight="1">
      <c r="B336" s="24"/>
      <c r="C336" s="24"/>
      <c r="D336" s="24"/>
      <c r="F336" s="24"/>
      <c r="G336" s="24"/>
      <c r="J336" s="24"/>
    </row>
    <row r="337" ht="16.5" customHeight="1">
      <c r="B337" s="24"/>
      <c r="C337" s="24"/>
      <c r="D337" s="24"/>
      <c r="F337" s="24"/>
      <c r="G337" s="24"/>
      <c r="J337" s="24"/>
    </row>
    <row r="338" ht="16.5" customHeight="1">
      <c r="B338" s="24"/>
      <c r="C338" s="24"/>
      <c r="D338" s="24"/>
      <c r="F338" s="24"/>
      <c r="G338" s="24"/>
      <c r="J338" s="24"/>
    </row>
    <row r="339" ht="16.5" customHeight="1">
      <c r="B339" s="24"/>
      <c r="C339" s="24"/>
      <c r="D339" s="24"/>
      <c r="F339" s="24"/>
      <c r="G339" s="24"/>
      <c r="J339" s="24"/>
    </row>
    <row r="340" ht="16.5" customHeight="1">
      <c r="B340" s="24"/>
      <c r="C340" s="24"/>
      <c r="D340" s="24"/>
      <c r="F340" s="24"/>
      <c r="G340" s="24"/>
      <c r="J340" s="24"/>
    </row>
    <row r="341" ht="16.5" customHeight="1">
      <c r="B341" s="24"/>
      <c r="C341" s="24"/>
      <c r="D341" s="24"/>
      <c r="F341" s="24"/>
      <c r="G341" s="24"/>
      <c r="J341" s="24"/>
    </row>
    <row r="342" ht="16.5" customHeight="1">
      <c r="B342" s="24"/>
      <c r="C342" s="24"/>
      <c r="D342" s="24"/>
      <c r="F342" s="24"/>
      <c r="G342" s="24"/>
      <c r="J342" s="24"/>
    </row>
    <row r="343" ht="16.5" customHeight="1">
      <c r="B343" s="24"/>
      <c r="C343" s="24"/>
      <c r="D343" s="24"/>
      <c r="F343" s="24"/>
      <c r="G343" s="24"/>
      <c r="J343" s="24"/>
    </row>
    <row r="344" ht="16.5" customHeight="1">
      <c r="B344" s="24"/>
      <c r="C344" s="24"/>
      <c r="D344" s="24"/>
      <c r="F344" s="24"/>
      <c r="G344" s="24"/>
      <c r="J344" s="24"/>
    </row>
    <row r="345" ht="16.5" customHeight="1">
      <c r="B345" s="24"/>
      <c r="C345" s="24"/>
      <c r="D345" s="24"/>
      <c r="F345" s="24"/>
      <c r="G345" s="24"/>
      <c r="J345" s="24"/>
    </row>
    <row r="346" ht="16.5" customHeight="1">
      <c r="B346" s="24"/>
      <c r="C346" s="24"/>
      <c r="D346" s="24"/>
      <c r="F346" s="24"/>
      <c r="G346" s="24"/>
      <c r="J346" s="24"/>
    </row>
    <row r="347" ht="16.5" customHeight="1">
      <c r="B347" s="24"/>
      <c r="C347" s="24"/>
      <c r="D347" s="24"/>
      <c r="F347" s="24"/>
      <c r="G347" s="24"/>
      <c r="J347" s="24"/>
    </row>
    <row r="348" ht="16.5" customHeight="1">
      <c r="B348" s="24"/>
      <c r="C348" s="24"/>
      <c r="D348" s="24"/>
      <c r="F348" s="24"/>
      <c r="G348" s="24"/>
      <c r="J348" s="24"/>
    </row>
    <row r="349" ht="16.5" customHeight="1">
      <c r="B349" s="24"/>
      <c r="C349" s="24"/>
      <c r="D349" s="24"/>
      <c r="F349" s="24"/>
      <c r="G349" s="24"/>
      <c r="J349" s="24"/>
    </row>
    <row r="350" ht="16.5" customHeight="1">
      <c r="B350" s="24"/>
      <c r="C350" s="24"/>
      <c r="D350" s="24"/>
      <c r="F350" s="24"/>
      <c r="G350" s="24"/>
      <c r="J350" s="24"/>
    </row>
    <row r="351" ht="16.5" customHeight="1">
      <c r="B351" s="24"/>
      <c r="C351" s="24"/>
      <c r="D351" s="24"/>
      <c r="F351" s="24"/>
      <c r="G351" s="24"/>
      <c r="J351" s="24"/>
    </row>
    <row r="352" ht="16.5" customHeight="1">
      <c r="B352" s="24"/>
      <c r="C352" s="24"/>
      <c r="D352" s="24"/>
      <c r="F352" s="24"/>
      <c r="G352" s="24"/>
      <c r="J352" s="24"/>
    </row>
    <row r="353" ht="16.5" customHeight="1">
      <c r="B353" s="24"/>
      <c r="C353" s="24"/>
      <c r="D353" s="24"/>
      <c r="F353" s="24"/>
      <c r="G353" s="24"/>
      <c r="J353" s="24"/>
    </row>
    <row r="354" ht="16.5" customHeight="1">
      <c r="B354" s="24"/>
      <c r="C354" s="24"/>
      <c r="D354" s="24"/>
      <c r="F354" s="24"/>
      <c r="G354" s="24"/>
      <c r="J354" s="24"/>
    </row>
    <row r="355" ht="16.5" customHeight="1">
      <c r="B355" s="24"/>
      <c r="C355" s="24"/>
      <c r="D355" s="24"/>
      <c r="F355" s="24"/>
      <c r="G355" s="24"/>
      <c r="J355" s="24"/>
    </row>
    <row r="356" ht="16.5" customHeight="1">
      <c r="B356" s="24"/>
      <c r="C356" s="24"/>
      <c r="D356" s="24"/>
      <c r="F356" s="24"/>
      <c r="G356" s="24"/>
      <c r="J356" s="24"/>
    </row>
    <row r="357" ht="16.5" customHeight="1">
      <c r="B357" s="24"/>
      <c r="C357" s="24"/>
      <c r="D357" s="24"/>
      <c r="F357" s="24"/>
      <c r="G357" s="24"/>
      <c r="J357" s="24"/>
    </row>
    <row r="358" ht="16.5" customHeight="1">
      <c r="B358" s="24"/>
      <c r="C358" s="24"/>
      <c r="D358" s="24"/>
      <c r="F358" s="24"/>
      <c r="G358" s="24"/>
      <c r="J358" s="24"/>
    </row>
    <row r="359" ht="16.5" customHeight="1">
      <c r="B359" s="24"/>
      <c r="C359" s="24"/>
      <c r="D359" s="24"/>
      <c r="F359" s="24"/>
      <c r="G359" s="24"/>
      <c r="J359" s="24"/>
    </row>
    <row r="360" ht="16.5" customHeight="1">
      <c r="B360" s="24"/>
      <c r="C360" s="24"/>
      <c r="D360" s="24"/>
      <c r="F360" s="24"/>
      <c r="G360" s="24"/>
      <c r="J360" s="24"/>
    </row>
    <row r="361" ht="16.5" customHeight="1">
      <c r="B361" s="24"/>
      <c r="C361" s="24"/>
      <c r="D361" s="24"/>
      <c r="F361" s="24"/>
      <c r="G361" s="24"/>
      <c r="J361" s="24"/>
    </row>
    <row r="362" ht="16.5" customHeight="1">
      <c r="B362" s="24"/>
      <c r="C362" s="24"/>
      <c r="D362" s="24"/>
      <c r="F362" s="24"/>
      <c r="G362" s="24"/>
      <c r="J362" s="24"/>
    </row>
    <row r="363" ht="16.5" customHeight="1">
      <c r="B363" s="24"/>
      <c r="C363" s="24"/>
      <c r="D363" s="24"/>
      <c r="F363" s="24"/>
      <c r="G363" s="24"/>
      <c r="J363" s="24"/>
    </row>
    <row r="364" ht="16.5" customHeight="1">
      <c r="B364" s="24"/>
      <c r="C364" s="24"/>
      <c r="D364" s="24"/>
      <c r="F364" s="24"/>
      <c r="G364" s="24"/>
      <c r="J364" s="24"/>
    </row>
    <row r="365" ht="16.5" customHeight="1">
      <c r="B365" s="24"/>
      <c r="C365" s="24"/>
      <c r="D365" s="24"/>
      <c r="F365" s="24"/>
      <c r="G365" s="24"/>
      <c r="J365" s="24"/>
    </row>
    <row r="366" ht="16.5" customHeight="1">
      <c r="B366" s="24"/>
      <c r="C366" s="24"/>
      <c r="D366" s="24"/>
      <c r="F366" s="24"/>
      <c r="G366" s="24"/>
      <c r="J366" s="24"/>
    </row>
    <row r="367" ht="16.5" customHeight="1">
      <c r="B367" s="24"/>
      <c r="C367" s="24"/>
      <c r="D367" s="24"/>
      <c r="F367" s="24"/>
      <c r="G367" s="24"/>
      <c r="J367" s="24"/>
    </row>
    <row r="368" ht="16.5" customHeight="1">
      <c r="B368" s="24"/>
      <c r="C368" s="24"/>
      <c r="D368" s="24"/>
      <c r="F368" s="24"/>
      <c r="G368" s="24"/>
      <c r="J368" s="24"/>
    </row>
    <row r="369" ht="16.5" customHeight="1">
      <c r="B369" s="24"/>
      <c r="C369" s="24"/>
      <c r="D369" s="24"/>
      <c r="F369" s="24"/>
      <c r="G369" s="24"/>
      <c r="J369" s="24"/>
    </row>
    <row r="370" ht="16.5" customHeight="1">
      <c r="B370" s="24"/>
      <c r="C370" s="24"/>
      <c r="D370" s="24"/>
      <c r="F370" s="24"/>
      <c r="G370" s="24"/>
      <c r="J370" s="24"/>
    </row>
    <row r="371" ht="16.5" customHeight="1">
      <c r="B371" s="24"/>
      <c r="C371" s="24"/>
      <c r="D371" s="24"/>
      <c r="F371" s="24"/>
      <c r="G371" s="24"/>
      <c r="J371" s="24"/>
    </row>
    <row r="372" ht="16.5" customHeight="1">
      <c r="B372" s="24"/>
      <c r="C372" s="24"/>
      <c r="D372" s="24"/>
      <c r="F372" s="24"/>
      <c r="G372" s="24"/>
      <c r="J372" s="24"/>
    </row>
    <row r="373" ht="16.5" customHeight="1">
      <c r="B373" s="24"/>
      <c r="C373" s="24"/>
      <c r="D373" s="24"/>
      <c r="F373" s="24"/>
      <c r="G373" s="24"/>
      <c r="J373" s="24"/>
    </row>
    <row r="374" ht="16.5" customHeight="1">
      <c r="B374" s="24"/>
      <c r="C374" s="24"/>
      <c r="D374" s="24"/>
      <c r="F374" s="24"/>
      <c r="G374" s="24"/>
      <c r="J374" s="24"/>
    </row>
    <row r="375" ht="16.5" customHeight="1">
      <c r="B375" s="24"/>
      <c r="C375" s="24"/>
      <c r="D375" s="24"/>
      <c r="F375" s="24"/>
      <c r="G375" s="24"/>
      <c r="J375" s="24"/>
    </row>
    <row r="376" ht="16.5" customHeight="1">
      <c r="B376" s="24"/>
      <c r="C376" s="24"/>
      <c r="D376" s="24"/>
      <c r="F376" s="24"/>
      <c r="G376" s="24"/>
      <c r="J376" s="24"/>
    </row>
    <row r="377" ht="16.5" customHeight="1">
      <c r="B377" s="24"/>
      <c r="C377" s="24"/>
      <c r="D377" s="24"/>
      <c r="F377" s="24"/>
      <c r="G377" s="24"/>
      <c r="J377" s="24"/>
    </row>
    <row r="378" ht="16.5" customHeight="1">
      <c r="B378" s="24"/>
      <c r="C378" s="24"/>
      <c r="D378" s="24"/>
      <c r="F378" s="24"/>
      <c r="G378" s="24"/>
      <c r="J378" s="24"/>
    </row>
    <row r="379" ht="16.5" customHeight="1">
      <c r="B379" s="24"/>
      <c r="C379" s="24"/>
      <c r="D379" s="24"/>
      <c r="F379" s="24"/>
      <c r="G379" s="24"/>
      <c r="J379" s="24"/>
    </row>
    <row r="380" ht="16.5" customHeight="1">
      <c r="B380" s="24"/>
      <c r="C380" s="24"/>
      <c r="D380" s="24"/>
      <c r="F380" s="24"/>
      <c r="G380" s="24"/>
      <c r="J380" s="24"/>
    </row>
    <row r="381" ht="16.5" customHeight="1">
      <c r="B381" s="24"/>
      <c r="C381" s="24"/>
      <c r="D381" s="24"/>
      <c r="F381" s="24"/>
      <c r="G381" s="24"/>
      <c r="J381" s="24"/>
    </row>
    <row r="382" ht="16.5" customHeight="1">
      <c r="B382" s="24"/>
      <c r="C382" s="24"/>
      <c r="D382" s="24"/>
      <c r="F382" s="24"/>
      <c r="G382" s="24"/>
      <c r="J382" s="24"/>
    </row>
    <row r="383" ht="16.5" customHeight="1">
      <c r="B383" s="24"/>
      <c r="C383" s="24"/>
      <c r="D383" s="24"/>
      <c r="F383" s="24"/>
      <c r="G383" s="24"/>
      <c r="J383" s="24"/>
    </row>
    <row r="384" ht="16.5" customHeight="1">
      <c r="B384" s="24"/>
      <c r="C384" s="24"/>
      <c r="D384" s="24"/>
      <c r="F384" s="24"/>
      <c r="G384" s="24"/>
      <c r="J384" s="24"/>
    </row>
    <row r="385" ht="16.5" customHeight="1">
      <c r="B385" s="24"/>
      <c r="C385" s="24"/>
      <c r="D385" s="24"/>
      <c r="F385" s="24"/>
      <c r="G385" s="24"/>
      <c r="J385" s="24"/>
    </row>
    <row r="386" ht="16.5" customHeight="1">
      <c r="B386" s="24"/>
      <c r="C386" s="24"/>
      <c r="D386" s="24"/>
      <c r="F386" s="24"/>
      <c r="G386" s="24"/>
      <c r="J386" s="24"/>
    </row>
    <row r="387" ht="16.5" customHeight="1">
      <c r="B387" s="24"/>
      <c r="C387" s="24"/>
      <c r="D387" s="24"/>
      <c r="F387" s="24"/>
      <c r="G387" s="24"/>
      <c r="J387" s="24"/>
    </row>
    <row r="388" ht="16.5" customHeight="1">
      <c r="B388" s="24"/>
      <c r="C388" s="24"/>
      <c r="D388" s="24"/>
      <c r="F388" s="24"/>
      <c r="G388" s="24"/>
      <c r="J388" s="24"/>
    </row>
    <row r="389" ht="16.5" customHeight="1">
      <c r="B389" s="24"/>
      <c r="C389" s="24"/>
      <c r="D389" s="24"/>
      <c r="F389" s="24"/>
      <c r="G389" s="24"/>
      <c r="J389" s="24"/>
    </row>
    <row r="390" ht="16.5" customHeight="1">
      <c r="B390" s="24"/>
      <c r="C390" s="24"/>
      <c r="D390" s="24"/>
      <c r="F390" s="24"/>
      <c r="G390" s="24"/>
      <c r="J390" s="24"/>
    </row>
    <row r="391" ht="16.5" customHeight="1">
      <c r="B391" s="24"/>
      <c r="C391" s="24"/>
      <c r="D391" s="24"/>
      <c r="F391" s="24"/>
      <c r="G391" s="24"/>
      <c r="J391" s="24"/>
    </row>
    <row r="392" ht="16.5" customHeight="1">
      <c r="B392" s="24"/>
      <c r="C392" s="24"/>
      <c r="D392" s="24"/>
      <c r="F392" s="24"/>
      <c r="G392" s="24"/>
      <c r="J392" s="24"/>
    </row>
    <row r="393" ht="16.5" customHeight="1">
      <c r="B393" s="24"/>
      <c r="C393" s="24"/>
      <c r="D393" s="24"/>
      <c r="F393" s="24"/>
      <c r="G393" s="24"/>
      <c r="J393" s="24"/>
    </row>
    <row r="394" ht="16.5" customHeight="1">
      <c r="B394" s="24"/>
      <c r="C394" s="24"/>
      <c r="D394" s="24"/>
      <c r="F394" s="24"/>
      <c r="G394" s="24"/>
      <c r="J394" s="24"/>
    </row>
    <row r="395" ht="16.5" customHeight="1">
      <c r="B395" s="24"/>
      <c r="C395" s="24"/>
      <c r="D395" s="24"/>
      <c r="F395" s="24"/>
      <c r="G395" s="24"/>
      <c r="J395" s="24"/>
    </row>
    <row r="396" ht="16.5" customHeight="1">
      <c r="B396" s="24"/>
      <c r="C396" s="24"/>
      <c r="D396" s="24"/>
      <c r="F396" s="24"/>
      <c r="G396" s="24"/>
      <c r="J396" s="24"/>
    </row>
    <row r="397" ht="16.5" customHeight="1">
      <c r="B397" s="24"/>
      <c r="C397" s="24"/>
      <c r="D397" s="24"/>
      <c r="F397" s="24"/>
      <c r="G397" s="24"/>
      <c r="J397" s="24"/>
    </row>
    <row r="398" ht="16.5" customHeight="1">
      <c r="B398" s="24"/>
      <c r="C398" s="24"/>
      <c r="D398" s="24"/>
      <c r="F398" s="24"/>
      <c r="G398" s="24"/>
      <c r="J398" s="24"/>
    </row>
    <row r="399" ht="16.5" customHeight="1">
      <c r="B399" s="24"/>
      <c r="C399" s="24"/>
      <c r="D399" s="24"/>
      <c r="F399" s="24"/>
      <c r="G399" s="24"/>
      <c r="J399" s="24"/>
    </row>
    <row r="400" ht="16.5" customHeight="1">
      <c r="B400" s="24"/>
      <c r="C400" s="24"/>
      <c r="D400" s="24"/>
      <c r="F400" s="24"/>
      <c r="G400" s="24"/>
      <c r="J400" s="24"/>
    </row>
    <row r="401" ht="16.5" customHeight="1">
      <c r="B401" s="24"/>
      <c r="C401" s="24"/>
      <c r="D401" s="24"/>
      <c r="F401" s="24"/>
      <c r="G401" s="24"/>
      <c r="J401" s="24"/>
    </row>
    <row r="402" ht="16.5" customHeight="1">
      <c r="B402" s="24"/>
      <c r="C402" s="24"/>
      <c r="D402" s="24"/>
      <c r="F402" s="24"/>
      <c r="G402" s="24"/>
      <c r="J402" s="24"/>
    </row>
    <row r="403" ht="16.5" customHeight="1">
      <c r="B403" s="24"/>
      <c r="C403" s="24"/>
      <c r="D403" s="24"/>
      <c r="F403" s="24"/>
      <c r="G403" s="24"/>
      <c r="J403" s="24"/>
    </row>
    <row r="404" ht="16.5" customHeight="1">
      <c r="B404" s="24"/>
      <c r="C404" s="24"/>
      <c r="D404" s="24"/>
      <c r="F404" s="24"/>
      <c r="G404" s="24"/>
      <c r="J404" s="24"/>
    </row>
    <row r="405" ht="16.5" customHeight="1">
      <c r="B405" s="24"/>
      <c r="C405" s="24"/>
      <c r="D405" s="24"/>
      <c r="F405" s="24"/>
      <c r="G405" s="24"/>
      <c r="J405" s="24"/>
    </row>
    <row r="406" ht="16.5" customHeight="1">
      <c r="B406" s="24"/>
      <c r="C406" s="24"/>
      <c r="D406" s="24"/>
      <c r="F406" s="24"/>
      <c r="G406" s="24"/>
      <c r="J406" s="24"/>
    </row>
    <row r="407" ht="16.5" customHeight="1">
      <c r="B407" s="24"/>
      <c r="C407" s="24"/>
      <c r="D407" s="24"/>
      <c r="F407" s="24"/>
      <c r="G407" s="24"/>
      <c r="J407" s="24"/>
    </row>
    <row r="408" ht="16.5" customHeight="1">
      <c r="B408" s="24"/>
      <c r="C408" s="24"/>
      <c r="D408" s="24"/>
      <c r="F408" s="24"/>
      <c r="G408" s="24"/>
      <c r="J408" s="24"/>
    </row>
    <row r="409" ht="16.5" customHeight="1">
      <c r="B409" s="24"/>
      <c r="C409" s="24"/>
      <c r="D409" s="24"/>
      <c r="F409" s="24"/>
      <c r="G409" s="24"/>
      <c r="J409" s="24"/>
    </row>
    <row r="410" ht="16.5" customHeight="1">
      <c r="B410" s="24"/>
      <c r="C410" s="24"/>
      <c r="D410" s="24"/>
      <c r="F410" s="24"/>
      <c r="G410" s="24"/>
      <c r="J410" s="24"/>
    </row>
    <row r="411" ht="16.5" customHeight="1">
      <c r="B411" s="24"/>
      <c r="C411" s="24"/>
      <c r="D411" s="24"/>
      <c r="F411" s="24"/>
      <c r="G411" s="24"/>
      <c r="J411" s="24"/>
    </row>
    <row r="412" ht="16.5" customHeight="1">
      <c r="B412" s="24"/>
      <c r="C412" s="24"/>
      <c r="D412" s="24"/>
      <c r="F412" s="24"/>
      <c r="G412" s="24"/>
      <c r="J412" s="24"/>
    </row>
    <row r="413" ht="16.5" customHeight="1">
      <c r="B413" s="24"/>
      <c r="C413" s="24"/>
      <c r="D413" s="24"/>
      <c r="F413" s="24"/>
      <c r="G413" s="24"/>
      <c r="J413" s="24"/>
    </row>
    <row r="414" ht="16.5" customHeight="1">
      <c r="B414" s="24"/>
      <c r="C414" s="24"/>
      <c r="D414" s="24"/>
      <c r="F414" s="24"/>
      <c r="G414" s="24"/>
      <c r="J414" s="24"/>
    </row>
    <row r="415" ht="16.5" customHeight="1">
      <c r="B415" s="24"/>
      <c r="C415" s="24"/>
      <c r="D415" s="24"/>
      <c r="F415" s="24"/>
      <c r="G415" s="24"/>
      <c r="J415" s="24"/>
    </row>
    <row r="416" ht="16.5" customHeight="1">
      <c r="B416" s="24"/>
      <c r="C416" s="24"/>
      <c r="D416" s="24"/>
      <c r="F416" s="24"/>
      <c r="G416" s="24"/>
      <c r="J416" s="24"/>
    </row>
    <row r="417" ht="16.5" customHeight="1">
      <c r="B417" s="24"/>
      <c r="C417" s="24"/>
      <c r="D417" s="24"/>
      <c r="F417" s="24"/>
      <c r="G417" s="24"/>
      <c r="J417" s="24"/>
    </row>
    <row r="418" ht="16.5" customHeight="1">
      <c r="B418" s="24"/>
      <c r="C418" s="24"/>
      <c r="D418" s="24"/>
      <c r="F418" s="24"/>
      <c r="G418" s="24"/>
      <c r="J418" s="24"/>
    </row>
    <row r="419" ht="16.5" customHeight="1">
      <c r="B419" s="24"/>
      <c r="C419" s="24"/>
      <c r="D419" s="24"/>
      <c r="F419" s="24"/>
      <c r="G419" s="24"/>
      <c r="J419" s="24"/>
    </row>
    <row r="420" ht="16.5" customHeight="1">
      <c r="B420" s="24"/>
      <c r="C420" s="24"/>
      <c r="D420" s="24"/>
      <c r="F420" s="24"/>
      <c r="G420" s="24"/>
      <c r="J420" s="24"/>
    </row>
    <row r="421" ht="16.5" customHeight="1">
      <c r="B421" s="24"/>
      <c r="C421" s="24"/>
      <c r="D421" s="24"/>
      <c r="F421" s="24"/>
      <c r="G421" s="24"/>
      <c r="J421" s="24"/>
    </row>
    <row r="422" ht="16.5" customHeight="1">
      <c r="B422" s="24"/>
      <c r="C422" s="24"/>
      <c r="D422" s="24"/>
      <c r="F422" s="24"/>
      <c r="G422" s="24"/>
      <c r="J422" s="24"/>
    </row>
    <row r="423" ht="16.5" customHeight="1">
      <c r="B423" s="24"/>
      <c r="C423" s="24"/>
      <c r="D423" s="24"/>
      <c r="F423" s="24"/>
      <c r="G423" s="24"/>
      <c r="J423" s="24"/>
    </row>
    <row r="424" ht="16.5" customHeight="1">
      <c r="B424" s="24"/>
      <c r="C424" s="24"/>
      <c r="D424" s="24"/>
      <c r="F424" s="24"/>
      <c r="G424" s="24"/>
      <c r="J424" s="24"/>
    </row>
    <row r="425" ht="16.5" customHeight="1">
      <c r="B425" s="24"/>
      <c r="C425" s="24"/>
      <c r="D425" s="24"/>
      <c r="F425" s="24"/>
      <c r="G425" s="24"/>
      <c r="J425" s="24"/>
    </row>
    <row r="426" ht="16.5" customHeight="1">
      <c r="B426" s="24"/>
      <c r="C426" s="24"/>
      <c r="D426" s="24"/>
      <c r="F426" s="24"/>
      <c r="G426" s="24"/>
      <c r="J426" s="24"/>
    </row>
    <row r="427" ht="16.5" customHeight="1">
      <c r="B427" s="24"/>
      <c r="C427" s="24"/>
      <c r="D427" s="24"/>
      <c r="F427" s="24"/>
      <c r="G427" s="24"/>
      <c r="J427" s="24"/>
    </row>
    <row r="428" ht="16.5" customHeight="1">
      <c r="B428" s="24"/>
      <c r="C428" s="24"/>
      <c r="D428" s="24"/>
      <c r="F428" s="24"/>
      <c r="G428" s="24"/>
      <c r="J428" s="24"/>
    </row>
    <row r="429" ht="16.5" customHeight="1">
      <c r="B429" s="24"/>
      <c r="C429" s="24"/>
      <c r="D429" s="24"/>
      <c r="F429" s="24"/>
      <c r="G429" s="24"/>
      <c r="J429" s="24"/>
    </row>
    <row r="430" ht="16.5" customHeight="1">
      <c r="B430" s="24"/>
      <c r="C430" s="24"/>
      <c r="D430" s="24"/>
      <c r="F430" s="24"/>
      <c r="G430" s="24"/>
      <c r="J430" s="24"/>
    </row>
    <row r="431" ht="16.5" customHeight="1">
      <c r="B431" s="24"/>
      <c r="C431" s="24"/>
      <c r="D431" s="24"/>
      <c r="F431" s="24"/>
      <c r="G431" s="24"/>
      <c r="J431" s="24"/>
    </row>
    <row r="432" ht="16.5" customHeight="1">
      <c r="B432" s="24"/>
      <c r="C432" s="24"/>
      <c r="D432" s="24"/>
      <c r="F432" s="24"/>
      <c r="G432" s="24"/>
      <c r="J432" s="24"/>
    </row>
    <row r="433" ht="16.5" customHeight="1">
      <c r="B433" s="24"/>
      <c r="C433" s="24"/>
      <c r="D433" s="24"/>
      <c r="F433" s="24"/>
      <c r="G433" s="24"/>
      <c r="J433" s="24"/>
    </row>
    <row r="434" ht="16.5" customHeight="1">
      <c r="B434" s="24"/>
      <c r="C434" s="24"/>
      <c r="D434" s="24"/>
      <c r="F434" s="24"/>
      <c r="G434" s="24"/>
      <c r="J434" s="24"/>
    </row>
    <row r="435" ht="16.5" customHeight="1">
      <c r="B435" s="24"/>
      <c r="C435" s="24"/>
      <c r="D435" s="24"/>
      <c r="F435" s="24"/>
      <c r="G435" s="24"/>
      <c r="J435" s="24"/>
    </row>
    <row r="436" ht="16.5" customHeight="1">
      <c r="B436" s="24"/>
      <c r="C436" s="24"/>
      <c r="D436" s="24"/>
      <c r="F436" s="24"/>
      <c r="G436" s="24"/>
      <c r="J436" s="24"/>
    </row>
    <row r="437" ht="16.5" customHeight="1">
      <c r="B437" s="24"/>
      <c r="C437" s="24"/>
      <c r="D437" s="24"/>
      <c r="F437" s="24"/>
      <c r="G437" s="24"/>
      <c r="J437" s="24"/>
    </row>
    <row r="438" ht="16.5" customHeight="1">
      <c r="B438" s="24"/>
      <c r="C438" s="24"/>
      <c r="D438" s="24"/>
      <c r="F438" s="24"/>
      <c r="G438" s="24"/>
      <c r="J438" s="24"/>
    </row>
    <row r="439" ht="16.5" customHeight="1">
      <c r="B439" s="24"/>
      <c r="C439" s="24"/>
      <c r="D439" s="24"/>
      <c r="F439" s="24"/>
      <c r="G439" s="24"/>
      <c r="J439" s="24"/>
    </row>
    <row r="440" ht="16.5" customHeight="1">
      <c r="B440" s="24"/>
      <c r="C440" s="24"/>
      <c r="D440" s="24"/>
      <c r="F440" s="24"/>
      <c r="G440" s="24"/>
      <c r="J440" s="24"/>
    </row>
    <row r="441" ht="16.5" customHeight="1">
      <c r="B441" s="24"/>
      <c r="C441" s="24"/>
      <c r="D441" s="24"/>
      <c r="F441" s="24"/>
      <c r="G441" s="24"/>
      <c r="J441" s="24"/>
    </row>
    <row r="442" ht="16.5" customHeight="1">
      <c r="B442" s="24"/>
      <c r="C442" s="24"/>
      <c r="D442" s="24"/>
      <c r="F442" s="24"/>
      <c r="G442" s="24"/>
      <c r="J442" s="24"/>
    </row>
    <row r="443" ht="16.5" customHeight="1">
      <c r="B443" s="24"/>
      <c r="C443" s="24"/>
      <c r="D443" s="24"/>
      <c r="F443" s="24"/>
      <c r="G443" s="24"/>
      <c r="J443" s="24"/>
    </row>
    <row r="444" ht="16.5" customHeight="1">
      <c r="B444" s="24"/>
      <c r="C444" s="24"/>
      <c r="D444" s="24"/>
      <c r="F444" s="24"/>
      <c r="G444" s="24"/>
      <c r="J444" s="24"/>
    </row>
    <row r="445" ht="16.5" customHeight="1">
      <c r="B445" s="24"/>
      <c r="C445" s="24"/>
      <c r="D445" s="24"/>
      <c r="F445" s="24"/>
      <c r="G445" s="24"/>
      <c r="J445" s="24"/>
    </row>
    <row r="446" ht="16.5" customHeight="1">
      <c r="B446" s="24"/>
      <c r="C446" s="24"/>
      <c r="D446" s="24"/>
      <c r="F446" s="24"/>
      <c r="G446" s="24"/>
      <c r="J446" s="24"/>
    </row>
    <row r="447" ht="16.5" customHeight="1">
      <c r="B447" s="24"/>
      <c r="C447" s="24"/>
      <c r="D447" s="24"/>
      <c r="F447" s="24"/>
      <c r="G447" s="24"/>
      <c r="J447" s="24"/>
    </row>
    <row r="448" ht="16.5" customHeight="1">
      <c r="B448" s="24"/>
      <c r="C448" s="24"/>
      <c r="D448" s="24"/>
      <c r="F448" s="24"/>
      <c r="G448" s="24"/>
      <c r="J448" s="24"/>
    </row>
    <row r="449" ht="16.5" customHeight="1">
      <c r="B449" s="24"/>
      <c r="C449" s="24"/>
      <c r="D449" s="24"/>
      <c r="F449" s="24"/>
      <c r="G449" s="24"/>
      <c r="J449" s="24"/>
    </row>
    <row r="450" ht="16.5" customHeight="1">
      <c r="B450" s="24"/>
      <c r="C450" s="24"/>
      <c r="D450" s="24"/>
      <c r="F450" s="24"/>
      <c r="G450" s="24"/>
      <c r="J450" s="24"/>
    </row>
    <row r="451" ht="16.5" customHeight="1">
      <c r="B451" s="24"/>
      <c r="C451" s="24"/>
      <c r="D451" s="24"/>
      <c r="F451" s="24"/>
      <c r="G451" s="24"/>
      <c r="J451" s="24"/>
    </row>
    <row r="452" ht="16.5" customHeight="1">
      <c r="B452" s="24"/>
      <c r="C452" s="24"/>
      <c r="D452" s="24"/>
      <c r="F452" s="24"/>
      <c r="G452" s="24"/>
      <c r="J452" s="24"/>
    </row>
    <row r="453" ht="16.5" customHeight="1">
      <c r="B453" s="24"/>
      <c r="C453" s="24"/>
      <c r="D453" s="24"/>
      <c r="F453" s="24"/>
      <c r="G453" s="24"/>
      <c r="J453" s="24"/>
    </row>
    <row r="454" ht="16.5" customHeight="1">
      <c r="B454" s="24"/>
      <c r="C454" s="24"/>
      <c r="D454" s="24"/>
      <c r="F454" s="24"/>
      <c r="G454" s="24"/>
      <c r="J454" s="24"/>
    </row>
    <row r="455" ht="16.5" customHeight="1">
      <c r="B455" s="24"/>
      <c r="C455" s="24"/>
      <c r="D455" s="24"/>
      <c r="F455" s="24"/>
      <c r="G455" s="24"/>
      <c r="J455" s="24"/>
    </row>
    <row r="456" ht="16.5" customHeight="1">
      <c r="B456" s="24"/>
      <c r="C456" s="24"/>
      <c r="D456" s="24"/>
      <c r="F456" s="24"/>
      <c r="G456" s="24"/>
      <c r="J456" s="24"/>
    </row>
    <row r="457" ht="16.5" customHeight="1">
      <c r="B457" s="24"/>
      <c r="C457" s="24"/>
      <c r="D457" s="24"/>
      <c r="F457" s="24"/>
      <c r="G457" s="24"/>
      <c r="J457" s="24"/>
    </row>
    <row r="458" ht="16.5" customHeight="1">
      <c r="B458" s="24"/>
      <c r="C458" s="24"/>
      <c r="D458" s="24"/>
      <c r="F458" s="24"/>
      <c r="G458" s="24"/>
      <c r="J458" s="24"/>
    </row>
    <row r="459" ht="16.5" customHeight="1">
      <c r="B459" s="24"/>
      <c r="C459" s="24"/>
      <c r="D459" s="24"/>
      <c r="F459" s="24"/>
      <c r="G459" s="24"/>
      <c r="J459" s="24"/>
    </row>
    <row r="460" ht="16.5" customHeight="1">
      <c r="B460" s="24"/>
      <c r="C460" s="24"/>
      <c r="D460" s="24"/>
      <c r="F460" s="24"/>
      <c r="G460" s="24"/>
      <c r="J460" s="24"/>
    </row>
    <row r="461" ht="16.5" customHeight="1">
      <c r="B461" s="24"/>
      <c r="C461" s="24"/>
      <c r="D461" s="24"/>
      <c r="F461" s="24"/>
      <c r="G461" s="24"/>
      <c r="J461" s="24"/>
    </row>
    <row r="462" ht="16.5" customHeight="1">
      <c r="B462" s="24"/>
      <c r="C462" s="24"/>
      <c r="D462" s="24"/>
      <c r="F462" s="24"/>
      <c r="G462" s="24"/>
      <c r="J462" s="24"/>
    </row>
    <row r="463" ht="16.5" customHeight="1">
      <c r="B463" s="24"/>
      <c r="C463" s="24"/>
      <c r="D463" s="24"/>
      <c r="F463" s="24"/>
      <c r="G463" s="24"/>
      <c r="J463" s="24"/>
    </row>
    <row r="464" ht="16.5" customHeight="1">
      <c r="B464" s="24"/>
      <c r="C464" s="24"/>
      <c r="D464" s="24"/>
      <c r="F464" s="24"/>
      <c r="G464" s="24"/>
      <c r="J464" s="24"/>
    </row>
    <row r="465" ht="16.5" customHeight="1">
      <c r="B465" s="24"/>
      <c r="C465" s="24"/>
      <c r="D465" s="24"/>
      <c r="F465" s="24"/>
      <c r="G465" s="24"/>
      <c r="J465" s="24"/>
    </row>
    <row r="466" ht="16.5" customHeight="1">
      <c r="B466" s="24"/>
      <c r="C466" s="24"/>
      <c r="D466" s="24"/>
      <c r="F466" s="24"/>
      <c r="G466" s="24"/>
      <c r="J466" s="24"/>
    </row>
    <row r="467" ht="16.5" customHeight="1">
      <c r="B467" s="24"/>
      <c r="C467" s="24"/>
      <c r="D467" s="24"/>
      <c r="F467" s="24"/>
      <c r="G467" s="24"/>
      <c r="J467" s="24"/>
    </row>
    <row r="468" ht="16.5" customHeight="1">
      <c r="B468" s="24"/>
      <c r="C468" s="24"/>
      <c r="D468" s="24"/>
      <c r="F468" s="24"/>
      <c r="G468" s="24"/>
      <c r="J468" s="24"/>
    </row>
    <row r="469" ht="16.5" customHeight="1">
      <c r="B469" s="24"/>
      <c r="C469" s="24"/>
      <c r="D469" s="24"/>
      <c r="F469" s="24"/>
      <c r="G469" s="24"/>
      <c r="J469" s="24"/>
    </row>
    <row r="470" ht="16.5" customHeight="1">
      <c r="B470" s="24"/>
      <c r="C470" s="24"/>
      <c r="D470" s="24"/>
      <c r="F470" s="24"/>
      <c r="G470" s="24"/>
      <c r="J470" s="24"/>
    </row>
    <row r="471" ht="16.5" customHeight="1">
      <c r="B471" s="24"/>
      <c r="C471" s="24"/>
      <c r="D471" s="24"/>
      <c r="F471" s="24"/>
      <c r="G471" s="24"/>
      <c r="J471" s="24"/>
    </row>
    <row r="472" ht="16.5" customHeight="1">
      <c r="B472" s="24"/>
      <c r="C472" s="24"/>
      <c r="D472" s="24"/>
      <c r="F472" s="24"/>
      <c r="G472" s="24"/>
      <c r="J472" s="24"/>
    </row>
    <row r="473" ht="16.5" customHeight="1">
      <c r="B473" s="24"/>
      <c r="C473" s="24"/>
      <c r="D473" s="24"/>
      <c r="F473" s="24"/>
      <c r="G473" s="24"/>
      <c r="J473" s="24"/>
    </row>
    <row r="474" ht="16.5" customHeight="1">
      <c r="B474" s="24"/>
      <c r="C474" s="24"/>
      <c r="D474" s="24"/>
      <c r="F474" s="24"/>
      <c r="G474" s="24"/>
      <c r="J474" s="24"/>
    </row>
    <row r="475" ht="16.5" customHeight="1">
      <c r="B475" s="24"/>
      <c r="C475" s="24"/>
      <c r="D475" s="24"/>
      <c r="F475" s="24"/>
      <c r="G475" s="24"/>
      <c r="J475" s="24"/>
    </row>
    <row r="476" ht="16.5" customHeight="1">
      <c r="B476" s="24"/>
      <c r="C476" s="24"/>
      <c r="D476" s="24"/>
      <c r="F476" s="24"/>
      <c r="G476" s="24"/>
      <c r="J476" s="24"/>
    </row>
    <row r="477" ht="16.5" customHeight="1">
      <c r="B477" s="24"/>
      <c r="C477" s="24"/>
      <c r="D477" s="24"/>
      <c r="F477" s="24"/>
      <c r="G477" s="24"/>
      <c r="J477" s="24"/>
    </row>
    <row r="478" ht="16.5" customHeight="1">
      <c r="B478" s="24"/>
      <c r="C478" s="24"/>
      <c r="D478" s="24"/>
      <c r="F478" s="24"/>
      <c r="G478" s="24"/>
      <c r="J478" s="24"/>
    </row>
    <row r="479" ht="16.5" customHeight="1">
      <c r="B479" s="24"/>
      <c r="C479" s="24"/>
      <c r="D479" s="24"/>
      <c r="F479" s="24"/>
      <c r="G479" s="24"/>
      <c r="J479" s="24"/>
    </row>
    <row r="480" ht="16.5" customHeight="1">
      <c r="B480" s="24"/>
      <c r="C480" s="24"/>
      <c r="D480" s="24"/>
      <c r="F480" s="24"/>
      <c r="G480" s="24"/>
      <c r="J480" s="24"/>
    </row>
    <row r="481" ht="16.5" customHeight="1">
      <c r="B481" s="24"/>
      <c r="C481" s="24"/>
      <c r="D481" s="24"/>
      <c r="F481" s="24"/>
      <c r="G481" s="24"/>
      <c r="J481" s="24"/>
    </row>
    <row r="482" ht="16.5" customHeight="1">
      <c r="B482" s="24"/>
      <c r="C482" s="24"/>
      <c r="D482" s="24"/>
      <c r="F482" s="24"/>
      <c r="G482" s="24"/>
      <c r="J482" s="24"/>
    </row>
    <row r="483" ht="16.5" customHeight="1">
      <c r="B483" s="24"/>
      <c r="C483" s="24"/>
      <c r="D483" s="24"/>
      <c r="F483" s="24"/>
      <c r="G483" s="24"/>
      <c r="J483" s="24"/>
    </row>
    <row r="484" ht="16.5" customHeight="1">
      <c r="B484" s="24"/>
      <c r="C484" s="24"/>
      <c r="D484" s="24"/>
      <c r="F484" s="24"/>
      <c r="G484" s="24"/>
      <c r="J484" s="24"/>
    </row>
    <row r="485" ht="16.5" customHeight="1">
      <c r="B485" s="24"/>
      <c r="C485" s="24"/>
      <c r="D485" s="24"/>
      <c r="F485" s="24"/>
      <c r="G485" s="24"/>
      <c r="J485" s="24"/>
    </row>
    <row r="486" ht="16.5" customHeight="1">
      <c r="B486" s="24"/>
      <c r="C486" s="24"/>
      <c r="D486" s="24"/>
      <c r="F486" s="24"/>
      <c r="G486" s="24"/>
      <c r="J486" s="24"/>
    </row>
    <row r="487" ht="16.5" customHeight="1">
      <c r="B487" s="24"/>
      <c r="C487" s="24"/>
      <c r="D487" s="24"/>
      <c r="F487" s="24"/>
      <c r="G487" s="24"/>
      <c r="J487" s="24"/>
    </row>
    <row r="488" ht="16.5" customHeight="1">
      <c r="B488" s="24"/>
      <c r="C488" s="24"/>
      <c r="D488" s="24"/>
      <c r="F488" s="24"/>
      <c r="G488" s="24"/>
      <c r="J488" s="24"/>
    </row>
    <row r="489" ht="16.5" customHeight="1">
      <c r="B489" s="24"/>
      <c r="C489" s="24"/>
      <c r="D489" s="24"/>
      <c r="F489" s="24"/>
      <c r="G489" s="24"/>
      <c r="J489" s="24"/>
    </row>
    <row r="490" ht="16.5" customHeight="1">
      <c r="B490" s="24"/>
      <c r="C490" s="24"/>
      <c r="D490" s="24"/>
      <c r="F490" s="24"/>
      <c r="G490" s="24"/>
      <c r="J490" s="24"/>
    </row>
    <row r="491" ht="16.5" customHeight="1">
      <c r="B491" s="24"/>
      <c r="C491" s="24"/>
      <c r="D491" s="24"/>
      <c r="F491" s="24"/>
      <c r="G491" s="24"/>
      <c r="J491" s="24"/>
    </row>
    <row r="492" ht="16.5" customHeight="1">
      <c r="B492" s="24"/>
      <c r="C492" s="24"/>
      <c r="D492" s="24"/>
      <c r="F492" s="24"/>
      <c r="G492" s="24"/>
      <c r="J492" s="24"/>
    </row>
    <row r="493" ht="16.5" customHeight="1">
      <c r="B493" s="24"/>
      <c r="C493" s="24"/>
      <c r="D493" s="24"/>
      <c r="F493" s="24"/>
      <c r="G493" s="24"/>
      <c r="J493" s="24"/>
    </row>
    <row r="494" ht="16.5" customHeight="1">
      <c r="B494" s="24"/>
      <c r="C494" s="24"/>
      <c r="D494" s="24"/>
      <c r="F494" s="24"/>
      <c r="G494" s="24"/>
      <c r="J494" s="24"/>
    </row>
    <row r="495" ht="16.5" customHeight="1">
      <c r="B495" s="24"/>
      <c r="C495" s="24"/>
      <c r="D495" s="24"/>
      <c r="F495" s="24"/>
      <c r="G495" s="24"/>
      <c r="J495" s="24"/>
    </row>
    <row r="496" ht="16.5" customHeight="1">
      <c r="B496" s="24"/>
      <c r="C496" s="24"/>
      <c r="D496" s="24"/>
      <c r="F496" s="24"/>
      <c r="G496" s="24"/>
      <c r="J496" s="24"/>
    </row>
    <row r="497" ht="16.5" customHeight="1">
      <c r="B497" s="24"/>
      <c r="C497" s="24"/>
      <c r="D497" s="24"/>
      <c r="F497" s="24"/>
      <c r="G497" s="24"/>
      <c r="J497" s="24"/>
    </row>
    <row r="498" ht="16.5" customHeight="1">
      <c r="B498" s="24"/>
      <c r="C498" s="24"/>
      <c r="D498" s="24"/>
      <c r="F498" s="24"/>
      <c r="G498" s="24"/>
      <c r="J498" s="24"/>
    </row>
    <row r="499" ht="16.5" customHeight="1">
      <c r="B499" s="24"/>
      <c r="C499" s="24"/>
      <c r="D499" s="24"/>
      <c r="F499" s="24"/>
      <c r="G499" s="24"/>
      <c r="J499" s="24"/>
    </row>
    <row r="500" ht="16.5" customHeight="1">
      <c r="B500" s="24"/>
      <c r="C500" s="24"/>
      <c r="D500" s="24"/>
      <c r="F500" s="24"/>
      <c r="G500" s="24"/>
      <c r="J500" s="24"/>
    </row>
    <row r="501" ht="16.5" customHeight="1">
      <c r="B501" s="24"/>
      <c r="C501" s="24"/>
      <c r="D501" s="24"/>
      <c r="F501" s="24"/>
      <c r="G501" s="24"/>
      <c r="J501" s="24"/>
    </row>
    <row r="502" ht="16.5" customHeight="1">
      <c r="B502" s="24"/>
      <c r="C502" s="24"/>
      <c r="D502" s="24"/>
      <c r="F502" s="24"/>
      <c r="G502" s="24"/>
      <c r="J502" s="24"/>
    </row>
    <row r="503" ht="16.5" customHeight="1">
      <c r="B503" s="24"/>
      <c r="C503" s="24"/>
      <c r="D503" s="24"/>
      <c r="F503" s="24"/>
      <c r="G503" s="24"/>
      <c r="J503" s="24"/>
    </row>
    <row r="504" ht="16.5" customHeight="1">
      <c r="B504" s="24"/>
      <c r="C504" s="24"/>
      <c r="D504" s="24"/>
      <c r="F504" s="24"/>
      <c r="G504" s="24"/>
      <c r="J504" s="24"/>
    </row>
    <row r="505" ht="16.5" customHeight="1">
      <c r="B505" s="24"/>
      <c r="C505" s="24"/>
      <c r="D505" s="24"/>
      <c r="F505" s="24"/>
      <c r="G505" s="24"/>
      <c r="J505" s="24"/>
    </row>
    <row r="506" ht="16.5" customHeight="1">
      <c r="B506" s="24"/>
      <c r="C506" s="24"/>
      <c r="D506" s="24"/>
      <c r="F506" s="24"/>
      <c r="G506" s="24"/>
      <c r="J506" s="24"/>
    </row>
    <row r="507" ht="16.5" customHeight="1">
      <c r="B507" s="24"/>
      <c r="C507" s="24"/>
      <c r="D507" s="24"/>
      <c r="F507" s="24"/>
      <c r="G507" s="24"/>
      <c r="J507" s="24"/>
    </row>
    <row r="508" ht="16.5" customHeight="1">
      <c r="B508" s="24"/>
      <c r="C508" s="24"/>
      <c r="D508" s="24"/>
      <c r="F508" s="24"/>
      <c r="G508" s="24"/>
      <c r="J508" s="24"/>
    </row>
    <row r="509" ht="16.5" customHeight="1">
      <c r="B509" s="24"/>
      <c r="C509" s="24"/>
      <c r="D509" s="24"/>
      <c r="F509" s="24"/>
      <c r="G509" s="24"/>
      <c r="J509" s="24"/>
    </row>
    <row r="510" ht="16.5" customHeight="1">
      <c r="B510" s="24"/>
      <c r="C510" s="24"/>
      <c r="D510" s="24"/>
      <c r="F510" s="24"/>
      <c r="G510" s="24"/>
      <c r="J510" s="24"/>
    </row>
    <row r="511" ht="16.5" customHeight="1">
      <c r="B511" s="24"/>
      <c r="C511" s="24"/>
      <c r="D511" s="24"/>
      <c r="F511" s="24"/>
      <c r="G511" s="24"/>
      <c r="J511" s="24"/>
    </row>
    <row r="512" ht="16.5" customHeight="1">
      <c r="B512" s="24"/>
      <c r="C512" s="24"/>
      <c r="D512" s="24"/>
      <c r="F512" s="24"/>
      <c r="G512" s="24"/>
      <c r="J512" s="24"/>
    </row>
    <row r="513" ht="16.5" customHeight="1">
      <c r="B513" s="24"/>
      <c r="C513" s="24"/>
      <c r="D513" s="24"/>
      <c r="F513" s="24"/>
      <c r="G513" s="24"/>
      <c r="J513" s="24"/>
    </row>
    <row r="514" ht="16.5" customHeight="1">
      <c r="B514" s="24"/>
      <c r="C514" s="24"/>
      <c r="D514" s="24"/>
      <c r="F514" s="24"/>
      <c r="G514" s="24"/>
      <c r="J514" s="24"/>
    </row>
    <row r="515" ht="16.5" customHeight="1">
      <c r="B515" s="24"/>
      <c r="C515" s="24"/>
      <c r="D515" s="24"/>
      <c r="F515" s="24"/>
      <c r="G515" s="24"/>
      <c r="J515" s="24"/>
    </row>
    <row r="516" ht="16.5" customHeight="1">
      <c r="B516" s="24"/>
      <c r="C516" s="24"/>
      <c r="D516" s="24"/>
      <c r="F516" s="24"/>
      <c r="G516" s="24"/>
      <c r="J516" s="24"/>
    </row>
    <row r="517" ht="16.5" customHeight="1">
      <c r="B517" s="24"/>
      <c r="C517" s="24"/>
      <c r="D517" s="24"/>
      <c r="F517" s="24"/>
      <c r="G517" s="24"/>
      <c r="J517" s="24"/>
    </row>
    <row r="518" ht="16.5" customHeight="1">
      <c r="B518" s="24"/>
      <c r="C518" s="24"/>
      <c r="D518" s="24"/>
      <c r="F518" s="24"/>
      <c r="G518" s="24"/>
      <c r="J518" s="24"/>
    </row>
    <row r="519" ht="16.5" customHeight="1">
      <c r="B519" s="24"/>
      <c r="C519" s="24"/>
      <c r="D519" s="24"/>
      <c r="F519" s="24"/>
      <c r="G519" s="24"/>
      <c r="J519" s="24"/>
    </row>
    <row r="520" ht="16.5" customHeight="1">
      <c r="B520" s="24"/>
      <c r="C520" s="24"/>
      <c r="D520" s="24"/>
      <c r="F520" s="24"/>
      <c r="G520" s="24"/>
      <c r="J520" s="24"/>
    </row>
    <row r="521" ht="16.5" customHeight="1">
      <c r="B521" s="24"/>
      <c r="C521" s="24"/>
      <c r="D521" s="24"/>
      <c r="F521" s="24"/>
      <c r="G521" s="24"/>
      <c r="J521" s="24"/>
    </row>
    <row r="522" ht="16.5" customHeight="1">
      <c r="B522" s="24"/>
      <c r="C522" s="24"/>
      <c r="D522" s="24"/>
      <c r="F522" s="24"/>
      <c r="G522" s="24"/>
      <c r="J522" s="24"/>
    </row>
    <row r="523" ht="16.5" customHeight="1">
      <c r="B523" s="24"/>
      <c r="C523" s="24"/>
      <c r="D523" s="24"/>
      <c r="F523" s="24"/>
      <c r="G523" s="24"/>
      <c r="J523" s="24"/>
    </row>
    <row r="524" ht="16.5" customHeight="1">
      <c r="B524" s="24"/>
      <c r="C524" s="24"/>
      <c r="D524" s="24"/>
      <c r="F524" s="24"/>
      <c r="G524" s="24"/>
      <c r="J524" s="24"/>
    </row>
    <row r="525" ht="16.5" customHeight="1">
      <c r="B525" s="24"/>
      <c r="C525" s="24"/>
      <c r="D525" s="24"/>
      <c r="F525" s="24"/>
      <c r="G525" s="24"/>
      <c r="J525" s="24"/>
    </row>
    <row r="526" ht="16.5" customHeight="1">
      <c r="B526" s="24"/>
      <c r="C526" s="24"/>
      <c r="D526" s="24"/>
      <c r="F526" s="24"/>
      <c r="G526" s="24"/>
      <c r="J526" s="24"/>
    </row>
    <row r="527" ht="16.5" customHeight="1">
      <c r="B527" s="24"/>
      <c r="C527" s="24"/>
      <c r="D527" s="24"/>
      <c r="F527" s="24"/>
      <c r="G527" s="24"/>
      <c r="J527" s="24"/>
    </row>
    <row r="528" ht="16.5" customHeight="1">
      <c r="B528" s="24"/>
      <c r="C528" s="24"/>
      <c r="D528" s="24"/>
      <c r="F528" s="24"/>
      <c r="G528" s="24"/>
      <c r="J528" s="24"/>
    </row>
    <row r="529" ht="16.5" customHeight="1">
      <c r="B529" s="24"/>
      <c r="C529" s="24"/>
      <c r="D529" s="24"/>
      <c r="F529" s="24"/>
      <c r="G529" s="24"/>
      <c r="J529" s="24"/>
    </row>
    <row r="530" ht="16.5" customHeight="1">
      <c r="B530" s="24"/>
      <c r="C530" s="24"/>
      <c r="D530" s="24"/>
      <c r="F530" s="24"/>
      <c r="G530" s="24"/>
      <c r="J530" s="24"/>
    </row>
    <row r="531" ht="16.5" customHeight="1">
      <c r="B531" s="24"/>
      <c r="C531" s="24"/>
      <c r="D531" s="24"/>
      <c r="F531" s="24"/>
      <c r="G531" s="24"/>
      <c r="J531" s="24"/>
    </row>
    <row r="532" ht="16.5" customHeight="1">
      <c r="B532" s="24"/>
      <c r="C532" s="24"/>
      <c r="D532" s="24"/>
      <c r="F532" s="24"/>
      <c r="G532" s="24"/>
      <c r="J532" s="24"/>
    </row>
    <row r="533" ht="16.5" customHeight="1">
      <c r="B533" s="24"/>
      <c r="C533" s="24"/>
      <c r="D533" s="24"/>
      <c r="F533" s="24"/>
      <c r="G533" s="24"/>
      <c r="J533" s="24"/>
    </row>
    <row r="534" ht="16.5" customHeight="1">
      <c r="B534" s="24"/>
      <c r="C534" s="24"/>
      <c r="D534" s="24"/>
      <c r="F534" s="24"/>
      <c r="G534" s="24"/>
      <c r="J534" s="24"/>
    </row>
    <row r="535" ht="16.5" customHeight="1">
      <c r="B535" s="24"/>
      <c r="C535" s="24"/>
      <c r="D535" s="24"/>
      <c r="F535" s="24"/>
      <c r="G535" s="24"/>
      <c r="J535" s="24"/>
    </row>
    <row r="536" ht="16.5" customHeight="1">
      <c r="B536" s="24"/>
      <c r="C536" s="24"/>
      <c r="D536" s="24"/>
      <c r="F536" s="24"/>
      <c r="G536" s="24"/>
      <c r="J536" s="24"/>
    </row>
    <row r="537" ht="16.5" customHeight="1">
      <c r="B537" s="24"/>
      <c r="C537" s="24"/>
      <c r="D537" s="24"/>
      <c r="F537" s="24"/>
      <c r="G537" s="24"/>
      <c r="J537" s="24"/>
    </row>
    <row r="538" ht="16.5" customHeight="1">
      <c r="B538" s="24"/>
      <c r="C538" s="24"/>
      <c r="D538" s="24"/>
      <c r="F538" s="24"/>
      <c r="G538" s="24"/>
      <c r="J538" s="24"/>
    </row>
    <row r="539" ht="16.5" customHeight="1">
      <c r="B539" s="24"/>
      <c r="C539" s="24"/>
      <c r="D539" s="24"/>
      <c r="F539" s="24"/>
      <c r="G539" s="24"/>
      <c r="J539" s="24"/>
    </row>
    <row r="540" ht="16.5" customHeight="1">
      <c r="B540" s="24"/>
      <c r="C540" s="24"/>
      <c r="D540" s="24"/>
      <c r="F540" s="24"/>
      <c r="G540" s="24"/>
      <c r="J540" s="24"/>
    </row>
    <row r="541" ht="16.5" customHeight="1">
      <c r="B541" s="24"/>
      <c r="C541" s="24"/>
      <c r="D541" s="24"/>
      <c r="F541" s="24"/>
      <c r="G541" s="24"/>
      <c r="J541" s="24"/>
    </row>
    <row r="542" ht="16.5" customHeight="1">
      <c r="B542" s="24"/>
      <c r="C542" s="24"/>
      <c r="D542" s="24"/>
      <c r="F542" s="24"/>
      <c r="G542" s="24"/>
      <c r="J542" s="24"/>
    </row>
    <row r="543" ht="16.5" customHeight="1">
      <c r="B543" s="24"/>
      <c r="C543" s="24"/>
      <c r="D543" s="24"/>
      <c r="F543" s="24"/>
      <c r="G543" s="24"/>
      <c r="J543" s="24"/>
    </row>
    <row r="544" ht="16.5" customHeight="1">
      <c r="B544" s="24"/>
      <c r="C544" s="24"/>
      <c r="D544" s="24"/>
      <c r="F544" s="24"/>
      <c r="G544" s="24"/>
      <c r="J544" s="24"/>
    </row>
    <row r="545" ht="16.5" customHeight="1">
      <c r="B545" s="24"/>
      <c r="C545" s="24"/>
      <c r="D545" s="24"/>
      <c r="F545" s="24"/>
      <c r="G545" s="24"/>
      <c r="J545" s="24"/>
    </row>
    <row r="546" ht="16.5" customHeight="1">
      <c r="B546" s="24"/>
      <c r="C546" s="24"/>
      <c r="D546" s="24"/>
      <c r="F546" s="24"/>
      <c r="G546" s="24"/>
      <c r="J546" s="24"/>
    </row>
    <row r="547" ht="16.5" customHeight="1">
      <c r="B547" s="24"/>
      <c r="C547" s="24"/>
      <c r="D547" s="24"/>
      <c r="F547" s="24"/>
      <c r="G547" s="24"/>
      <c r="J547" s="24"/>
    </row>
    <row r="548" ht="16.5" customHeight="1">
      <c r="B548" s="24"/>
      <c r="C548" s="24"/>
      <c r="D548" s="24"/>
      <c r="F548" s="24"/>
      <c r="G548" s="24"/>
      <c r="J548" s="24"/>
    </row>
    <row r="549" ht="16.5" customHeight="1">
      <c r="B549" s="24"/>
      <c r="C549" s="24"/>
      <c r="D549" s="24"/>
      <c r="F549" s="24"/>
      <c r="G549" s="24"/>
      <c r="J549" s="24"/>
    </row>
    <row r="550" ht="16.5" customHeight="1">
      <c r="B550" s="24"/>
      <c r="C550" s="24"/>
      <c r="D550" s="24"/>
      <c r="F550" s="24"/>
      <c r="G550" s="24"/>
      <c r="J550" s="24"/>
    </row>
    <row r="551" ht="16.5" customHeight="1">
      <c r="B551" s="24"/>
      <c r="C551" s="24"/>
      <c r="D551" s="24"/>
      <c r="F551" s="24"/>
      <c r="G551" s="24"/>
      <c r="J551" s="24"/>
    </row>
    <row r="552" ht="16.5" customHeight="1">
      <c r="B552" s="24"/>
      <c r="C552" s="24"/>
      <c r="D552" s="24"/>
      <c r="F552" s="24"/>
      <c r="G552" s="24"/>
      <c r="J552" s="24"/>
    </row>
    <row r="553" ht="16.5" customHeight="1">
      <c r="B553" s="24"/>
      <c r="C553" s="24"/>
      <c r="D553" s="24"/>
      <c r="F553" s="24"/>
      <c r="G553" s="24"/>
      <c r="J553" s="24"/>
    </row>
    <row r="554" ht="16.5" customHeight="1">
      <c r="B554" s="24"/>
      <c r="C554" s="24"/>
      <c r="D554" s="24"/>
      <c r="F554" s="24"/>
      <c r="G554" s="24"/>
      <c r="J554" s="24"/>
    </row>
    <row r="555" ht="16.5" customHeight="1">
      <c r="B555" s="24"/>
      <c r="C555" s="24"/>
      <c r="D555" s="24"/>
      <c r="F555" s="24"/>
      <c r="G555" s="24"/>
      <c r="J555" s="24"/>
    </row>
    <row r="556" ht="16.5" customHeight="1">
      <c r="B556" s="24"/>
      <c r="C556" s="24"/>
      <c r="D556" s="24"/>
      <c r="F556" s="24"/>
      <c r="G556" s="24"/>
      <c r="J556" s="24"/>
    </row>
    <row r="557" ht="16.5" customHeight="1">
      <c r="B557" s="24"/>
      <c r="C557" s="24"/>
      <c r="D557" s="24"/>
      <c r="F557" s="24"/>
      <c r="G557" s="24"/>
      <c r="J557" s="24"/>
    </row>
    <row r="558" ht="16.5" customHeight="1">
      <c r="B558" s="24"/>
      <c r="C558" s="24"/>
      <c r="D558" s="24"/>
      <c r="F558" s="24"/>
      <c r="G558" s="24"/>
      <c r="J558" s="24"/>
    </row>
    <row r="559" ht="16.5" customHeight="1">
      <c r="B559" s="24"/>
      <c r="C559" s="24"/>
      <c r="D559" s="24"/>
      <c r="F559" s="24"/>
      <c r="G559" s="24"/>
      <c r="J559" s="24"/>
    </row>
    <row r="560" ht="16.5" customHeight="1">
      <c r="B560" s="24"/>
      <c r="C560" s="24"/>
      <c r="D560" s="24"/>
      <c r="F560" s="24"/>
      <c r="G560" s="24"/>
      <c r="J560" s="24"/>
    </row>
    <row r="561" ht="16.5" customHeight="1">
      <c r="B561" s="24"/>
      <c r="C561" s="24"/>
      <c r="D561" s="24"/>
      <c r="F561" s="24"/>
      <c r="G561" s="24"/>
      <c r="J561" s="24"/>
    </row>
    <row r="562" ht="16.5" customHeight="1">
      <c r="B562" s="24"/>
      <c r="C562" s="24"/>
      <c r="D562" s="24"/>
      <c r="F562" s="24"/>
      <c r="G562" s="24"/>
      <c r="J562" s="24"/>
    </row>
    <row r="563" ht="16.5" customHeight="1">
      <c r="B563" s="24"/>
      <c r="C563" s="24"/>
      <c r="D563" s="24"/>
      <c r="F563" s="24"/>
      <c r="G563" s="24"/>
      <c r="J563" s="24"/>
    </row>
    <row r="564" ht="16.5" customHeight="1">
      <c r="B564" s="24"/>
      <c r="C564" s="24"/>
      <c r="D564" s="24"/>
      <c r="F564" s="24"/>
      <c r="G564" s="24"/>
      <c r="J564" s="24"/>
    </row>
    <row r="565" ht="16.5" customHeight="1">
      <c r="B565" s="24"/>
      <c r="C565" s="24"/>
      <c r="D565" s="24"/>
      <c r="F565" s="24"/>
      <c r="G565" s="24"/>
      <c r="J565" s="24"/>
    </row>
    <row r="566" ht="16.5" customHeight="1">
      <c r="B566" s="24"/>
      <c r="C566" s="24"/>
      <c r="D566" s="24"/>
      <c r="F566" s="24"/>
      <c r="G566" s="24"/>
      <c r="J566" s="24"/>
    </row>
    <row r="567" ht="16.5" customHeight="1">
      <c r="B567" s="24"/>
      <c r="C567" s="24"/>
      <c r="D567" s="24"/>
      <c r="F567" s="24"/>
      <c r="G567" s="24"/>
      <c r="J567" s="24"/>
    </row>
    <row r="568" ht="16.5" customHeight="1">
      <c r="B568" s="24"/>
      <c r="C568" s="24"/>
      <c r="D568" s="24"/>
      <c r="F568" s="24"/>
      <c r="G568" s="24"/>
      <c r="J568" s="24"/>
    </row>
    <row r="569" ht="16.5" customHeight="1">
      <c r="B569" s="24"/>
      <c r="C569" s="24"/>
      <c r="D569" s="24"/>
      <c r="F569" s="24"/>
      <c r="G569" s="24"/>
      <c r="J569" s="24"/>
    </row>
    <row r="570" ht="16.5" customHeight="1">
      <c r="B570" s="24"/>
      <c r="C570" s="24"/>
      <c r="D570" s="24"/>
      <c r="F570" s="24"/>
      <c r="G570" s="24"/>
      <c r="J570" s="24"/>
    </row>
    <row r="571" ht="16.5" customHeight="1">
      <c r="B571" s="24"/>
      <c r="C571" s="24"/>
      <c r="D571" s="24"/>
      <c r="F571" s="24"/>
      <c r="G571" s="24"/>
      <c r="J571" s="24"/>
    </row>
    <row r="572" ht="16.5" customHeight="1">
      <c r="B572" s="24"/>
      <c r="C572" s="24"/>
      <c r="D572" s="24"/>
      <c r="F572" s="24"/>
      <c r="G572" s="24"/>
      <c r="J572" s="24"/>
    </row>
    <row r="573" ht="16.5" customHeight="1">
      <c r="B573" s="24"/>
      <c r="C573" s="24"/>
      <c r="D573" s="24"/>
      <c r="F573" s="24"/>
      <c r="G573" s="24"/>
      <c r="J573" s="24"/>
    </row>
    <row r="574" ht="16.5" customHeight="1">
      <c r="B574" s="24"/>
      <c r="C574" s="24"/>
      <c r="D574" s="24"/>
      <c r="F574" s="24"/>
      <c r="G574" s="24"/>
      <c r="J574" s="24"/>
    </row>
    <row r="575" ht="16.5" customHeight="1">
      <c r="B575" s="24"/>
      <c r="C575" s="24"/>
      <c r="D575" s="24"/>
      <c r="F575" s="24"/>
      <c r="G575" s="24"/>
      <c r="J575" s="24"/>
    </row>
    <row r="576" ht="16.5" customHeight="1">
      <c r="B576" s="24"/>
      <c r="C576" s="24"/>
      <c r="D576" s="24"/>
      <c r="F576" s="24"/>
      <c r="G576" s="24"/>
      <c r="J576" s="24"/>
    </row>
    <row r="577" ht="16.5" customHeight="1">
      <c r="B577" s="24"/>
      <c r="C577" s="24"/>
      <c r="D577" s="24"/>
      <c r="F577" s="24"/>
      <c r="G577" s="24"/>
      <c r="J577" s="24"/>
    </row>
    <row r="578" ht="16.5" customHeight="1">
      <c r="B578" s="24"/>
      <c r="C578" s="24"/>
      <c r="D578" s="24"/>
      <c r="F578" s="24"/>
      <c r="G578" s="24"/>
      <c r="J578" s="24"/>
    </row>
    <row r="579" ht="16.5" customHeight="1">
      <c r="B579" s="24"/>
      <c r="C579" s="24"/>
      <c r="D579" s="24"/>
      <c r="F579" s="24"/>
      <c r="G579" s="24"/>
      <c r="J579" s="24"/>
    </row>
    <row r="580" ht="16.5" customHeight="1">
      <c r="B580" s="24"/>
      <c r="C580" s="24"/>
      <c r="D580" s="24"/>
      <c r="F580" s="24"/>
      <c r="G580" s="24"/>
      <c r="J580" s="24"/>
    </row>
    <row r="581" ht="16.5" customHeight="1">
      <c r="B581" s="24"/>
      <c r="C581" s="24"/>
      <c r="D581" s="24"/>
      <c r="F581" s="24"/>
      <c r="G581" s="24"/>
      <c r="J581" s="24"/>
    </row>
    <row r="582" ht="16.5" customHeight="1">
      <c r="B582" s="24"/>
      <c r="C582" s="24"/>
      <c r="D582" s="24"/>
      <c r="F582" s="24"/>
      <c r="G582" s="24"/>
      <c r="J582" s="24"/>
    </row>
    <row r="583" ht="16.5" customHeight="1">
      <c r="B583" s="24"/>
      <c r="C583" s="24"/>
      <c r="D583" s="24"/>
      <c r="F583" s="24"/>
      <c r="G583" s="24"/>
      <c r="J583" s="24"/>
    </row>
    <row r="584" ht="16.5" customHeight="1">
      <c r="B584" s="24"/>
      <c r="C584" s="24"/>
      <c r="D584" s="24"/>
      <c r="F584" s="24"/>
      <c r="G584" s="24"/>
      <c r="J584" s="24"/>
    </row>
    <row r="585" ht="16.5" customHeight="1">
      <c r="B585" s="24"/>
      <c r="C585" s="24"/>
      <c r="D585" s="24"/>
      <c r="F585" s="24"/>
      <c r="G585" s="24"/>
      <c r="J585" s="24"/>
    </row>
    <row r="586" ht="16.5" customHeight="1">
      <c r="B586" s="24"/>
      <c r="C586" s="24"/>
      <c r="D586" s="24"/>
      <c r="F586" s="24"/>
      <c r="G586" s="24"/>
      <c r="J586" s="24"/>
    </row>
    <row r="587" ht="16.5" customHeight="1">
      <c r="B587" s="24"/>
      <c r="C587" s="24"/>
      <c r="D587" s="24"/>
      <c r="F587" s="24"/>
      <c r="G587" s="24"/>
      <c r="J587" s="24"/>
    </row>
    <row r="588" ht="16.5" customHeight="1">
      <c r="B588" s="24"/>
      <c r="C588" s="24"/>
      <c r="D588" s="24"/>
      <c r="F588" s="24"/>
      <c r="G588" s="24"/>
      <c r="J588" s="24"/>
    </row>
    <row r="589" ht="16.5" customHeight="1">
      <c r="B589" s="24"/>
      <c r="C589" s="24"/>
      <c r="D589" s="24"/>
      <c r="F589" s="24"/>
      <c r="G589" s="24"/>
      <c r="J589" s="24"/>
    </row>
    <row r="590" ht="16.5" customHeight="1">
      <c r="B590" s="24"/>
      <c r="C590" s="24"/>
      <c r="D590" s="24"/>
      <c r="F590" s="24"/>
      <c r="G590" s="24"/>
      <c r="J590" s="24"/>
    </row>
    <row r="591" ht="16.5" customHeight="1">
      <c r="B591" s="24"/>
      <c r="C591" s="24"/>
      <c r="D591" s="24"/>
      <c r="F591" s="24"/>
      <c r="G591" s="24"/>
      <c r="J591" s="24"/>
    </row>
    <row r="592" ht="16.5" customHeight="1">
      <c r="B592" s="24"/>
      <c r="C592" s="24"/>
      <c r="D592" s="24"/>
      <c r="F592" s="24"/>
      <c r="G592" s="24"/>
      <c r="J592" s="24"/>
    </row>
    <row r="593" ht="16.5" customHeight="1">
      <c r="B593" s="24"/>
      <c r="C593" s="24"/>
      <c r="D593" s="24"/>
      <c r="F593" s="24"/>
      <c r="G593" s="24"/>
      <c r="J593" s="24"/>
    </row>
    <row r="594" ht="16.5" customHeight="1">
      <c r="B594" s="24"/>
      <c r="C594" s="24"/>
      <c r="D594" s="24"/>
      <c r="F594" s="24"/>
      <c r="G594" s="24"/>
      <c r="J594" s="24"/>
    </row>
    <row r="595" ht="16.5" customHeight="1">
      <c r="B595" s="24"/>
      <c r="C595" s="24"/>
      <c r="D595" s="24"/>
      <c r="F595" s="24"/>
      <c r="G595" s="24"/>
      <c r="J595" s="24"/>
    </row>
    <row r="596" ht="16.5" customHeight="1">
      <c r="B596" s="24"/>
      <c r="C596" s="24"/>
      <c r="D596" s="24"/>
      <c r="F596" s="24"/>
      <c r="G596" s="24"/>
      <c r="J596" s="24"/>
    </row>
    <row r="597" ht="16.5" customHeight="1">
      <c r="B597" s="24"/>
      <c r="C597" s="24"/>
      <c r="D597" s="24"/>
      <c r="F597" s="24"/>
      <c r="G597" s="24"/>
      <c r="J597" s="24"/>
    </row>
    <row r="598" ht="16.5" customHeight="1">
      <c r="B598" s="24"/>
      <c r="C598" s="24"/>
      <c r="D598" s="24"/>
      <c r="F598" s="24"/>
      <c r="G598" s="24"/>
      <c r="J598" s="24"/>
    </row>
    <row r="599" ht="16.5" customHeight="1">
      <c r="B599" s="24"/>
      <c r="C599" s="24"/>
      <c r="D599" s="24"/>
      <c r="F599" s="24"/>
      <c r="G599" s="24"/>
      <c r="J599" s="24"/>
    </row>
    <row r="600" ht="16.5" customHeight="1">
      <c r="B600" s="24"/>
      <c r="C600" s="24"/>
      <c r="D600" s="24"/>
      <c r="F600" s="24"/>
      <c r="G600" s="24"/>
      <c r="J600" s="24"/>
    </row>
    <row r="601" ht="16.5" customHeight="1">
      <c r="B601" s="24"/>
      <c r="C601" s="24"/>
      <c r="D601" s="24"/>
      <c r="F601" s="24"/>
      <c r="G601" s="24"/>
      <c r="J601" s="24"/>
    </row>
    <row r="602" ht="16.5" customHeight="1">
      <c r="B602" s="24"/>
      <c r="C602" s="24"/>
      <c r="D602" s="24"/>
      <c r="F602" s="24"/>
      <c r="G602" s="24"/>
      <c r="J602" s="24"/>
    </row>
    <row r="603" ht="16.5" customHeight="1">
      <c r="B603" s="24"/>
      <c r="C603" s="24"/>
      <c r="D603" s="24"/>
      <c r="F603" s="24"/>
      <c r="G603" s="24"/>
      <c r="J603" s="24"/>
    </row>
    <row r="604" ht="16.5" customHeight="1">
      <c r="B604" s="24"/>
      <c r="C604" s="24"/>
      <c r="D604" s="24"/>
      <c r="F604" s="24"/>
      <c r="G604" s="24"/>
      <c r="J604" s="24"/>
    </row>
    <row r="605" ht="16.5" customHeight="1">
      <c r="B605" s="24"/>
      <c r="C605" s="24"/>
      <c r="D605" s="24"/>
      <c r="F605" s="24"/>
      <c r="G605" s="24"/>
      <c r="J605" s="24"/>
    </row>
    <row r="606" ht="16.5" customHeight="1">
      <c r="B606" s="24"/>
      <c r="C606" s="24"/>
      <c r="D606" s="24"/>
      <c r="F606" s="24"/>
      <c r="G606" s="24"/>
      <c r="J606" s="24"/>
    </row>
    <row r="607" ht="16.5" customHeight="1">
      <c r="B607" s="24"/>
      <c r="C607" s="24"/>
      <c r="D607" s="24"/>
      <c r="F607" s="24"/>
      <c r="G607" s="24"/>
      <c r="J607" s="24"/>
    </row>
    <row r="608" ht="16.5" customHeight="1">
      <c r="B608" s="24"/>
      <c r="C608" s="24"/>
      <c r="D608" s="24"/>
      <c r="F608" s="24"/>
      <c r="G608" s="24"/>
      <c r="J608" s="24"/>
    </row>
    <row r="609" ht="16.5" customHeight="1">
      <c r="B609" s="24"/>
      <c r="C609" s="24"/>
      <c r="D609" s="24"/>
      <c r="F609" s="24"/>
      <c r="G609" s="24"/>
      <c r="J609" s="24"/>
    </row>
    <row r="610" ht="16.5" customHeight="1">
      <c r="B610" s="24"/>
      <c r="C610" s="24"/>
      <c r="D610" s="24"/>
      <c r="F610" s="24"/>
      <c r="G610" s="24"/>
      <c r="J610" s="24"/>
    </row>
    <row r="611" ht="16.5" customHeight="1">
      <c r="B611" s="24"/>
      <c r="C611" s="24"/>
      <c r="D611" s="24"/>
      <c r="F611" s="24"/>
      <c r="G611" s="24"/>
      <c r="J611" s="24"/>
    </row>
    <row r="612" ht="16.5" customHeight="1">
      <c r="B612" s="24"/>
      <c r="C612" s="24"/>
      <c r="D612" s="24"/>
      <c r="F612" s="24"/>
      <c r="G612" s="24"/>
      <c r="J612" s="24"/>
    </row>
    <row r="613" ht="16.5" customHeight="1">
      <c r="B613" s="24"/>
      <c r="C613" s="24"/>
      <c r="D613" s="24"/>
      <c r="F613" s="24"/>
      <c r="G613" s="24"/>
      <c r="J613" s="24"/>
    </row>
    <row r="614" ht="16.5" customHeight="1">
      <c r="B614" s="24"/>
      <c r="C614" s="24"/>
      <c r="D614" s="24"/>
      <c r="F614" s="24"/>
      <c r="G614" s="24"/>
      <c r="J614" s="24"/>
    </row>
    <row r="615" ht="16.5" customHeight="1">
      <c r="B615" s="24"/>
      <c r="C615" s="24"/>
      <c r="D615" s="24"/>
      <c r="F615" s="24"/>
      <c r="G615" s="24"/>
      <c r="J615" s="24"/>
    </row>
    <row r="616" ht="16.5" customHeight="1">
      <c r="B616" s="24"/>
      <c r="C616" s="24"/>
      <c r="D616" s="24"/>
      <c r="F616" s="24"/>
      <c r="G616" s="24"/>
      <c r="J616" s="24"/>
    </row>
    <row r="617" ht="16.5" customHeight="1">
      <c r="B617" s="24"/>
      <c r="C617" s="24"/>
      <c r="D617" s="24"/>
      <c r="F617" s="24"/>
      <c r="G617" s="24"/>
      <c r="J617" s="24"/>
    </row>
    <row r="618" ht="16.5" customHeight="1">
      <c r="B618" s="24"/>
      <c r="C618" s="24"/>
      <c r="D618" s="24"/>
      <c r="F618" s="24"/>
      <c r="G618" s="24"/>
      <c r="J618" s="24"/>
    </row>
    <row r="619" ht="16.5" customHeight="1">
      <c r="B619" s="24"/>
      <c r="C619" s="24"/>
      <c r="D619" s="24"/>
      <c r="F619" s="24"/>
      <c r="G619" s="24"/>
      <c r="J619" s="24"/>
    </row>
    <row r="620" ht="16.5" customHeight="1">
      <c r="B620" s="24"/>
      <c r="C620" s="24"/>
      <c r="D620" s="24"/>
      <c r="F620" s="24"/>
      <c r="G620" s="24"/>
      <c r="J620" s="24"/>
    </row>
    <row r="621" ht="16.5" customHeight="1">
      <c r="B621" s="24"/>
      <c r="C621" s="24"/>
      <c r="D621" s="24"/>
      <c r="F621" s="24"/>
      <c r="G621" s="24"/>
      <c r="J621" s="24"/>
    </row>
    <row r="622" ht="16.5" customHeight="1">
      <c r="B622" s="24"/>
      <c r="C622" s="24"/>
      <c r="D622" s="24"/>
      <c r="F622" s="24"/>
      <c r="G622" s="24"/>
      <c r="J622" s="24"/>
    </row>
    <row r="623" ht="16.5" customHeight="1">
      <c r="B623" s="24"/>
      <c r="C623" s="24"/>
      <c r="D623" s="24"/>
      <c r="F623" s="24"/>
      <c r="G623" s="24"/>
      <c r="J623" s="24"/>
    </row>
    <row r="624" ht="16.5" customHeight="1">
      <c r="B624" s="24"/>
      <c r="C624" s="24"/>
      <c r="D624" s="24"/>
      <c r="F624" s="24"/>
      <c r="G624" s="24"/>
      <c r="J624" s="24"/>
    </row>
    <row r="625" ht="16.5" customHeight="1">
      <c r="B625" s="24"/>
      <c r="C625" s="24"/>
      <c r="D625" s="24"/>
      <c r="F625" s="24"/>
      <c r="G625" s="24"/>
      <c r="J625" s="24"/>
    </row>
    <row r="626" ht="16.5" customHeight="1">
      <c r="B626" s="24"/>
      <c r="C626" s="24"/>
      <c r="D626" s="24"/>
      <c r="F626" s="24"/>
      <c r="G626" s="24"/>
      <c r="J626" s="24"/>
    </row>
    <row r="627" ht="16.5" customHeight="1">
      <c r="B627" s="24"/>
      <c r="C627" s="24"/>
      <c r="D627" s="24"/>
      <c r="F627" s="24"/>
      <c r="G627" s="24"/>
      <c r="J627" s="24"/>
    </row>
    <row r="628" ht="16.5" customHeight="1">
      <c r="B628" s="24"/>
      <c r="C628" s="24"/>
      <c r="D628" s="24"/>
      <c r="F628" s="24"/>
      <c r="G628" s="24"/>
      <c r="J628" s="24"/>
    </row>
    <row r="629" ht="16.5" customHeight="1">
      <c r="B629" s="24"/>
      <c r="C629" s="24"/>
      <c r="D629" s="24"/>
      <c r="F629" s="24"/>
      <c r="G629" s="24"/>
      <c r="J629" s="24"/>
    </row>
    <row r="630" ht="16.5" customHeight="1">
      <c r="B630" s="24"/>
      <c r="C630" s="24"/>
      <c r="D630" s="24"/>
      <c r="F630" s="24"/>
      <c r="G630" s="24"/>
      <c r="J630" s="24"/>
    </row>
    <row r="631" ht="16.5" customHeight="1">
      <c r="B631" s="24"/>
      <c r="C631" s="24"/>
      <c r="D631" s="24"/>
      <c r="F631" s="24"/>
      <c r="G631" s="24"/>
      <c r="J631" s="24"/>
    </row>
    <row r="632" ht="16.5" customHeight="1">
      <c r="B632" s="24"/>
      <c r="C632" s="24"/>
      <c r="D632" s="24"/>
      <c r="F632" s="24"/>
      <c r="G632" s="24"/>
      <c r="J632" s="24"/>
    </row>
    <row r="633" ht="16.5" customHeight="1">
      <c r="B633" s="24"/>
      <c r="C633" s="24"/>
      <c r="D633" s="24"/>
      <c r="F633" s="24"/>
      <c r="G633" s="24"/>
      <c r="J633" s="24"/>
    </row>
    <row r="634" ht="16.5" customHeight="1">
      <c r="B634" s="24"/>
      <c r="C634" s="24"/>
      <c r="D634" s="24"/>
      <c r="F634" s="24"/>
      <c r="G634" s="24"/>
      <c r="J634" s="24"/>
    </row>
    <row r="635" ht="16.5" customHeight="1">
      <c r="B635" s="24"/>
      <c r="C635" s="24"/>
      <c r="D635" s="24"/>
      <c r="F635" s="24"/>
      <c r="G635" s="24"/>
      <c r="J635" s="24"/>
    </row>
    <row r="636" ht="16.5" customHeight="1">
      <c r="B636" s="24"/>
      <c r="C636" s="24"/>
      <c r="D636" s="24"/>
      <c r="F636" s="24"/>
      <c r="G636" s="24"/>
      <c r="J636" s="24"/>
    </row>
    <row r="637" ht="16.5" customHeight="1">
      <c r="B637" s="24"/>
      <c r="C637" s="24"/>
      <c r="D637" s="24"/>
      <c r="F637" s="24"/>
      <c r="G637" s="24"/>
      <c r="J637" s="24"/>
    </row>
    <row r="638" ht="16.5" customHeight="1">
      <c r="B638" s="24"/>
      <c r="C638" s="24"/>
      <c r="D638" s="24"/>
      <c r="F638" s="24"/>
      <c r="G638" s="24"/>
      <c r="J638" s="24"/>
    </row>
    <row r="639" ht="16.5" customHeight="1">
      <c r="B639" s="24"/>
      <c r="C639" s="24"/>
      <c r="D639" s="24"/>
      <c r="F639" s="24"/>
      <c r="G639" s="24"/>
      <c r="J639" s="24"/>
    </row>
    <row r="640" ht="16.5" customHeight="1">
      <c r="B640" s="24"/>
      <c r="C640" s="24"/>
      <c r="D640" s="24"/>
      <c r="F640" s="24"/>
      <c r="G640" s="24"/>
      <c r="J640" s="24"/>
    </row>
    <row r="641" ht="16.5" customHeight="1">
      <c r="B641" s="24"/>
      <c r="C641" s="24"/>
      <c r="D641" s="24"/>
      <c r="F641" s="24"/>
      <c r="G641" s="24"/>
      <c r="J641" s="24"/>
    </row>
    <row r="642" ht="16.5" customHeight="1">
      <c r="B642" s="24"/>
      <c r="C642" s="24"/>
      <c r="D642" s="24"/>
      <c r="F642" s="24"/>
      <c r="G642" s="24"/>
      <c r="J642" s="24"/>
    </row>
    <row r="643" ht="16.5" customHeight="1">
      <c r="B643" s="24"/>
      <c r="C643" s="24"/>
      <c r="D643" s="24"/>
      <c r="F643" s="24"/>
      <c r="G643" s="24"/>
      <c r="J643" s="24"/>
    </row>
    <row r="644" ht="16.5" customHeight="1">
      <c r="B644" s="24"/>
      <c r="C644" s="24"/>
      <c r="D644" s="24"/>
      <c r="F644" s="24"/>
      <c r="G644" s="24"/>
      <c r="J644" s="24"/>
    </row>
    <row r="645" ht="16.5" customHeight="1">
      <c r="B645" s="24"/>
      <c r="C645" s="24"/>
      <c r="D645" s="24"/>
      <c r="F645" s="24"/>
      <c r="G645" s="24"/>
      <c r="J645" s="24"/>
    </row>
    <row r="646" ht="16.5" customHeight="1">
      <c r="B646" s="24"/>
      <c r="C646" s="24"/>
      <c r="D646" s="24"/>
      <c r="F646" s="24"/>
      <c r="G646" s="24"/>
      <c r="J646" s="24"/>
    </row>
    <row r="647" ht="16.5" customHeight="1">
      <c r="B647" s="24"/>
      <c r="C647" s="24"/>
      <c r="D647" s="24"/>
      <c r="F647" s="24"/>
      <c r="G647" s="24"/>
      <c r="J647" s="24"/>
    </row>
    <row r="648" ht="16.5" customHeight="1">
      <c r="B648" s="24"/>
      <c r="C648" s="24"/>
      <c r="D648" s="24"/>
      <c r="F648" s="24"/>
      <c r="G648" s="24"/>
      <c r="J648" s="24"/>
    </row>
    <row r="649" ht="16.5" customHeight="1">
      <c r="B649" s="24"/>
      <c r="C649" s="24"/>
      <c r="D649" s="24"/>
      <c r="F649" s="24"/>
      <c r="G649" s="24"/>
      <c r="J649" s="24"/>
    </row>
    <row r="650" ht="16.5" customHeight="1">
      <c r="B650" s="24"/>
      <c r="C650" s="24"/>
      <c r="D650" s="24"/>
      <c r="F650" s="24"/>
      <c r="G650" s="24"/>
      <c r="J650" s="24"/>
    </row>
    <row r="651" ht="16.5" customHeight="1">
      <c r="B651" s="24"/>
      <c r="C651" s="24"/>
      <c r="D651" s="24"/>
      <c r="F651" s="24"/>
      <c r="G651" s="24"/>
      <c r="J651" s="24"/>
    </row>
    <row r="652" ht="16.5" customHeight="1">
      <c r="B652" s="24"/>
      <c r="C652" s="24"/>
      <c r="D652" s="24"/>
      <c r="F652" s="24"/>
      <c r="G652" s="24"/>
      <c r="J652" s="24"/>
    </row>
    <row r="653" ht="16.5" customHeight="1">
      <c r="B653" s="24"/>
      <c r="C653" s="24"/>
      <c r="D653" s="24"/>
      <c r="F653" s="24"/>
      <c r="G653" s="24"/>
      <c r="J653" s="24"/>
    </row>
    <row r="654" ht="16.5" customHeight="1">
      <c r="B654" s="24"/>
      <c r="C654" s="24"/>
      <c r="D654" s="24"/>
      <c r="F654" s="24"/>
      <c r="G654" s="24"/>
      <c r="J654" s="24"/>
    </row>
    <row r="655" ht="16.5" customHeight="1">
      <c r="B655" s="24"/>
      <c r="C655" s="24"/>
      <c r="D655" s="24"/>
      <c r="F655" s="24"/>
      <c r="G655" s="24"/>
      <c r="J655" s="24"/>
    </row>
    <row r="656" ht="16.5" customHeight="1">
      <c r="B656" s="24"/>
      <c r="C656" s="24"/>
      <c r="D656" s="24"/>
      <c r="F656" s="24"/>
      <c r="G656" s="24"/>
      <c r="J656" s="24"/>
    </row>
    <row r="657" ht="16.5" customHeight="1">
      <c r="B657" s="24"/>
      <c r="C657" s="24"/>
      <c r="D657" s="24"/>
      <c r="F657" s="24"/>
      <c r="G657" s="24"/>
      <c r="J657" s="24"/>
    </row>
    <row r="658" ht="16.5" customHeight="1">
      <c r="B658" s="24"/>
      <c r="C658" s="24"/>
      <c r="D658" s="24"/>
      <c r="F658" s="24"/>
      <c r="G658" s="24"/>
      <c r="J658" s="24"/>
    </row>
    <row r="659" ht="16.5" customHeight="1">
      <c r="B659" s="24"/>
      <c r="C659" s="24"/>
      <c r="D659" s="24"/>
      <c r="F659" s="24"/>
      <c r="G659" s="24"/>
      <c r="J659" s="24"/>
    </row>
    <row r="660" ht="16.5" customHeight="1">
      <c r="B660" s="24"/>
      <c r="C660" s="24"/>
      <c r="D660" s="24"/>
      <c r="F660" s="24"/>
      <c r="G660" s="24"/>
      <c r="J660" s="24"/>
    </row>
    <row r="661" ht="16.5" customHeight="1">
      <c r="B661" s="24"/>
      <c r="C661" s="24"/>
      <c r="D661" s="24"/>
      <c r="F661" s="24"/>
      <c r="G661" s="24"/>
      <c r="J661" s="24"/>
    </row>
    <row r="662" ht="16.5" customHeight="1">
      <c r="B662" s="24"/>
      <c r="C662" s="24"/>
      <c r="D662" s="24"/>
      <c r="F662" s="24"/>
      <c r="G662" s="24"/>
      <c r="J662" s="24"/>
    </row>
    <row r="663" ht="16.5" customHeight="1">
      <c r="B663" s="24"/>
      <c r="C663" s="24"/>
      <c r="D663" s="24"/>
      <c r="F663" s="24"/>
      <c r="G663" s="24"/>
      <c r="J663" s="24"/>
    </row>
    <row r="664" ht="16.5" customHeight="1">
      <c r="B664" s="24"/>
      <c r="C664" s="24"/>
      <c r="D664" s="24"/>
      <c r="F664" s="24"/>
      <c r="G664" s="24"/>
      <c r="J664" s="24"/>
    </row>
    <row r="665" ht="16.5" customHeight="1">
      <c r="B665" s="24"/>
      <c r="C665" s="24"/>
      <c r="D665" s="24"/>
      <c r="F665" s="24"/>
      <c r="G665" s="24"/>
      <c r="J665" s="24"/>
    </row>
    <row r="666" ht="16.5" customHeight="1">
      <c r="B666" s="24"/>
      <c r="C666" s="24"/>
      <c r="D666" s="24"/>
      <c r="F666" s="24"/>
      <c r="G666" s="24"/>
      <c r="J666" s="24"/>
    </row>
    <row r="667" ht="16.5" customHeight="1">
      <c r="B667" s="24"/>
      <c r="C667" s="24"/>
      <c r="D667" s="24"/>
      <c r="F667" s="24"/>
      <c r="G667" s="24"/>
      <c r="J667" s="24"/>
    </row>
    <row r="668" ht="16.5" customHeight="1">
      <c r="B668" s="24"/>
      <c r="C668" s="24"/>
      <c r="D668" s="24"/>
      <c r="F668" s="24"/>
      <c r="G668" s="24"/>
      <c r="J668" s="24"/>
    </row>
    <row r="669" ht="16.5" customHeight="1">
      <c r="B669" s="24"/>
      <c r="C669" s="24"/>
      <c r="D669" s="24"/>
      <c r="F669" s="24"/>
      <c r="G669" s="24"/>
      <c r="J669" s="24"/>
    </row>
    <row r="670" ht="16.5" customHeight="1">
      <c r="B670" s="24"/>
      <c r="C670" s="24"/>
      <c r="D670" s="24"/>
      <c r="F670" s="24"/>
      <c r="G670" s="24"/>
      <c r="J670" s="24"/>
    </row>
    <row r="671" ht="16.5" customHeight="1">
      <c r="B671" s="24"/>
      <c r="C671" s="24"/>
      <c r="D671" s="24"/>
      <c r="F671" s="24"/>
      <c r="G671" s="24"/>
      <c r="J671" s="24"/>
    </row>
    <row r="672" ht="16.5" customHeight="1">
      <c r="B672" s="24"/>
      <c r="C672" s="24"/>
      <c r="D672" s="24"/>
      <c r="F672" s="24"/>
      <c r="G672" s="24"/>
      <c r="J672" s="24"/>
    </row>
    <row r="673" ht="16.5" customHeight="1">
      <c r="B673" s="24"/>
      <c r="C673" s="24"/>
      <c r="D673" s="24"/>
      <c r="F673" s="24"/>
      <c r="G673" s="24"/>
      <c r="J673" s="24"/>
    </row>
    <row r="674" ht="16.5" customHeight="1">
      <c r="B674" s="24"/>
      <c r="C674" s="24"/>
      <c r="D674" s="24"/>
      <c r="F674" s="24"/>
      <c r="G674" s="24"/>
      <c r="J674" s="24"/>
    </row>
    <row r="675" ht="16.5" customHeight="1">
      <c r="B675" s="24"/>
      <c r="C675" s="24"/>
      <c r="D675" s="24"/>
      <c r="F675" s="24"/>
      <c r="G675" s="24"/>
      <c r="J675" s="24"/>
    </row>
    <row r="676" ht="16.5" customHeight="1">
      <c r="B676" s="24"/>
      <c r="C676" s="24"/>
      <c r="D676" s="24"/>
      <c r="F676" s="24"/>
      <c r="G676" s="24"/>
      <c r="J676" s="24"/>
    </row>
    <row r="677" ht="16.5" customHeight="1">
      <c r="B677" s="24"/>
      <c r="C677" s="24"/>
      <c r="D677" s="24"/>
      <c r="F677" s="24"/>
      <c r="G677" s="24"/>
      <c r="J677" s="24"/>
    </row>
    <row r="678" ht="16.5" customHeight="1">
      <c r="B678" s="24"/>
      <c r="C678" s="24"/>
      <c r="D678" s="24"/>
      <c r="F678" s="24"/>
      <c r="G678" s="24"/>
      <c r="J678" s="24"/>
    </row>
    <row r="679" ht="16.5" customHeight="1">
      <c r="B679" s="24"/>
      <c r="C679" s="24"/>
      <c r="D679" s="24"/>
      <c r="F679" s="24"/>
      <c r="G679" s="24"/>
      <c r="J679" s="24"/>
    </row>
    <row r="680" ht="16.5" customHeight="1">
      <c r="B680" s="24"/>
      <c r="C680" s="24"/>
      <c r="D680" s="24"/>
      <c r="F680" s="24"/>
      <c r="G680" s="24"/>
      <c r="J680" s="24"/>
    </row>
    <row r="681" ht="16.5" customHeight="1">
      <c r="B681" s="24"/>
      <c r="C681" s="24"/>
      <c r="D681" s="24"/>
      <c r="F681" s="24"/>
      <c r="G681" s="24"/>
      <c r="J681" s="24"/>
    </row>
    <row r="682" ht="16.5" customHeight="1">
      <c r="B682" s="24"/>
      <c r="C682" s="24"/>
      <c r="D682" s="24"/>
      <c r="F682" s="24"/>
      <c r="G682" s="24"/>
      <c r="J682" s="24"/>
    </row>
    <row r="683" ht="16.5" customHeight="1">
      <c r="B683" s="24"/>
      <c r="C683" s="24"/>
      <c r="D683" s="24"/>
      <c r="F683" s="24"/>
      <c r="G683" s="24"/>
      <c r="J683" s="24"/>
    </row>
    <row r="684" ht="16.5" customHeight="1">
      <c r="B684" s="24"/>
      <c r="C684" s="24"/>
      <c r="D684" s="24"/>
      <c r="F684" s="24"/>
      <c r="G684" s="24"/>
      <c r="J684" s="24"/>
    </row>
    <row r="685" ht="16.5" customHeight="1">
      <c r="B685" s="24"/>
      <c r="C685" s="24"/>
      <c r="D685" s="24"/>
      <c r="F685" s="24"/>
      <c r="G685" s="24"/>
      <c r="J685" s="24"/>
    </row>
    <row r="686" ht="16.5" customHeight="1">
      <c r="B686" s="24"/>
      <c r="C686" s="24"/>
      <c r="D686" s="24"/>
      <c r="F686" s="24"/>
      <c r="G686" s="24"/>
      <c r="J686" s="24"/>
    </row>
    <row r="687" ht="16.5" customHeight="1">
      <c r="B687" s="24"/>
      <c r="C687" s="24"/>
      <c r="D687" s="24"/>
      <c r="F687" s="24"/>
      <c r="G687" s="24"/>
      <c r="J687" s="24"/>
    </row>
    <row r="688" ht="16.5" customHeight="1">
      <c r="B688" s="24"/>
      <c r="C688" s="24"/>
      <c r="D688" s="24"/>
      <c r="F688" s="24"/>
      <c r="G688" s="24"/>
      <c r="J688" s="24"/>
    </row>
    <row r="689" ht="16.5" customHeight="1">
      <c r="B689" s="24"/>
      <c r="C689" s="24"/>
      <c r="D689" s="24"/>
      <c r="F689" s="24"/>
      <c r="G689" s="24"/>
      <c r="J689" s="24"/>
    </row>
    <row r="690" ht="16.5" customHeight="1">
      <c r="B690" s="24"/>
      <c r="C690" s="24"/>
      <c r="D690" s="24"/>
      <c r="F690" s="24"/>
      <c r="G690" s="24"/>
      <c r="J690" s="24"/>
    </row>
    <row r="691" ht="16.5" customHeight="1">
      <c r="B691" s="24"/>
      <c r="C691" s="24"/>
      <c r="D691" s="24"/>
      <c r="F691" s="24"/>
      <c r="G691" s="24"/>
      <c r="J691" s="24"/>
    </row>
    <row r="692" ht="16.5" customHeight="1">
      <c r="B692" s="24"/>
      <c r="C692" s="24"/>
      <c r="D692" s="24"/>
      <c r="F692" s="24"/>
      <c r="G692" s="24"/>
      <c r="J692" s="24"/>
    </row>
    <row r="693" ht="16.5" customHeight="1">
      <c r="B693" s="24"/>
      <c r="C693" s="24"/>
      <c r="D693" s="24"/>
      <c r="F693" s="24"/>
      <c r="G693" s="24"/>
      <c r="J693" s="24"/>
    </row>
    <row r="694" ht="16.5" customHeight="1">
      <c r="B694" s="24"/>
      <c r="C694" s="24"/>
      <c r="D694" s="24"/>
      <c r="F694" s="24"/>
      <c r="G694" s="24"/>
      <c r="J694" s="24"/>
    </row>
    <row r="695" ht="16.5" customHeight="1">
      <c r="B695" s="24"/>
      <c r="C695" s="24"/>
      <c r="D695" s="24"/>
      <c r="F695" s="24"/>
      <c r="G695" s="24"/>
      <c r="J695" s="24"/>
    </row>
    <row r="696" ht="16.5" customHeight="1">
      <c r="B696" s="24"/>
      <c r="C696" s="24"/>
      <c r="D696" s="24"/>
      <c r="F696" s="24"/>
      <c r="G696" s="24"/>
      <c r="J696" s="24"/>
    </row>
    <row r="697" ht="16.5" customHeight="1">
      <c r="B697" s="24"/>
      <c r="C697" s="24"/>
      <c r="D697" s="24"/>
      <c r="F697" s="24"/>
      <c r="G697" s="24"/>
      <c r="J697" s="24"/>
    </row>
    <row r="698" ht="16.5" customHeight="1">
      <c r="B698" s="24"/>
      <c r="C698" s="24"/>
      <c r="D698" s="24"/>
      <c r="F698" s="24"/>
      <c r="G698" s="24"/>
      <c r="J698" s="24"/>
    </row>
    <row r="699" ht="16.5" customHeight="1">
      <c r="B699" s="24"/>
      <c r="C699" s="24"/>
      <c r="D699" s="24"/>
      <c r="F699" s="24"/>
      <c r="G699" s="24"/>
      <c r="J699" s="24"/>
    </row>
    <row r="700" ht="16.5" customHeight="1">
      <c r="B700" s="24"/>
      <c r="C700" s="24"/>
      <c r="D700" s="24"/>
      <c r="F700" s="24"/>
      <c r="G700" s="24"/>
      <c r="J700" s="24"/>
    </row>
    <row r="701" ht="16.5" customHeight="1">
      <c r="B701" s="24"/>
      <c r="C701" s="24"/>
      <c r="D701" s="24"/>
      <c r="F701" s="24"/>
      <c r="G701" s="24"/>
      <c r="J701" s="24"/>
    </row>
    <row r="702" ht="16.5" customHeight="1">
      <c r="B702" s="24"/>
      <c r="C702" s="24"/>
      <c r="D702" s="24"/>
      <c r="F702" s="24"/>
      <c r="G702" s="24"/>
      <c r="J702" s="24"/>
    </row>
    <row r="703" ht="16.5" customHeight="1">
      <c r="B703" s="24"/>
      <c r="C703" s="24"/>
      <c r="D703" s="24"/>
      <c r="F703" s="24"/>
      <c r="G703" s="24"/>
      <c r="J703" s="24"/>
    </row>
    <row r="704" ht="16.5" customHeight="1">
      <c r="B704" s="24"/>
      <c r="C704" s="24"/>
      <c r="D704" s="24"/>
      <c r="F704" s="24"/>
      <c r="G704" s="24"/>
      <c r="J704" s="24"/>
    </row>
    <row r="705" ht="16.5" customHeight="1">
      <c r="B705" s="24"/>
      <c r="C705" s="24"/>
      <c r="D705" s="24"/>
      <c r="F705" s="24"/>
      <c r="G705" s="24"/>
      <c r="J705" s="24"/>
    </row>
    <row r="706" ht="16.5" customHeight="1">
      <c r="B706" s="24"/>
      <c r="C706" s="24"/>
      <c r="D706" s="24"/>
      <c r="F706" s="24"/>
      <c r="G706" s="24"/>
      <c r="J706" s="24"/>
    </row>
    <row r="707" ht="16.5" customHeight="1">
      <c r="B707" s="24"/>
      <c r="C707" s="24"/>
      <c r="D707" s="24"/>
      <c r="F707" s="24"/>
      <c r="G707" s="24"/>
      <c r="J707" s="24"/>
    </row>
    <row r="708" ht="16.5" customHeight="1">
      <c r="B708" s="24"/>
      <c r="C708" s="24"/>
      <c r="D708" s="24"/>
      <c r="F708" s="24"/>
      <c r="G708" s="24"/>
      <c r="J708" s="24"/>
    </row>
    <row r="709" ht="16.5" customHeight="1">
      <c r="B709" s="24"/>
      <c r="C709" s="24"/>
      <c r="D709" s="24"/>
      <c r="F709" s="24"/>
      <c r="G709" s="24"/>
      <c r="J709" s="24"/>
    </row>
    <row r="710" ht="16.5" customHeight="1">
      <c r="B710" s="24"/>
      <c r="C710" s="24"/>
      <c r="D710" s="24"/>
      <c r="F710" s="24"/>
      <c r="G710" s="24"/>
      <c r="J710" s="24"/>
    </row>
    <row r="711" ht="16.5" customHeight="1">
      <c r="B711" s="24"/>
      <c r="C711" s="24"/>
      <c r="D711" s="24"/>
      <c r="F711" s="24"/>
      <c r="G711" s="24"/>
      <c r="J711" s="24"/>
    </row>
    <row r="712" ht="16.5" customHeight="1">
      <c r="B712" s="24"/>
      <c r="C712" s="24"/>
      <c r="D712" s="24"/>
      <c r="F712" s="24"/>
      <c r="G712" s="24"/>
      <c r="J712" s="24"/>
    </row>
    <row r="713" ht="16.5" customHeight="1">
      <c r="B713" s="24"/>
      <c r="C713" s="24"/>
      <c r="D713" s="24"/>
      <c r="F713" s="24"/>
      <c r="G713" s="24"/>
      <c r="J713" s="24"/>
    </row>
    <row r="714" ht="16.5" customHeight="1">
      <c r="B714" s="24"/>
      <c r="C714" s="24"/>
      <c r="D714" s="24"/>
      <c r="F714" s="24"/>
      <c r="G714" s="24"/>
      <c r="J714" s="24"/>
    </row>
    <row r="715" ht="16.5" customHeight="1">
      <c r="B715" s="24"/>
      <c r="C715" s="24"/>
      <c r="D715" s="24"/>
      <c r="F715" s="24"/>
      <c r="G715" s="24"/>
      <c r="J715" s="24"/>
    </row>
    <row r="716" ht="16.5" customHeight="1">
      <c r="B716" s="24"/>
      <c r="C716" s="24"/>
      <c r="D716" s="24"/>
      <c r="F716" s="24"/>
      <c r="G716" s="24"/>
      <c r="J716" s="24"/>
    </row>
    <row r="717" ht="16.5" customHeight="1">
      <c r="B717" s="24"/>
      <c r="C717" s="24"/>
      <c r="D717" s="24"/>
      <c r="F717" s="24"/>
      <c r="G717" s="24"/>
      <c r="J717" s="24"/>
    </row>
    <row r="718" ht="16.5" customHeight="1">
      <c r="B718" s="24"/>
      <c r="C718" s="24"/>
      <c r="D718" s="24"/>
      <c r="F718" s="24"/>
      <c r="G718" s="24"/>
      <c r="J718" s="24"/>
    </row>
    <row r="719" ht="16.5" customHeight="1">
      <c r="B719" s="24"/>
      <c r="C719" s="24"/>
      <c r="D719" s="24"/>
      <c r="F719" s="24"/>
      <c r="G719" s="24"/>
      <c r="J719" s="24"/>
    </row>
    <row r="720" ht="16.5" customHeight="1">
      <c r="B720" s="24"/>
      <c r="C720" s="24"/>
      <c r="D720" s="24"/>
      <c r="F720" s="24"/>
      <c r="G720" s="24"/>
      <c r="J720" s="24"/>
    </row>
    <row r="721" ht="16.5" customHeight="1">
      <c r="B721" s="24"/>
      <c r="C721" s="24"/>
      <c r="D721" s="24"/>
      <c r="F721" s="24"/>
      <c r="G721" s="24"/>
      <c r="J721" s="24"/>
    </row>
    <row r="722" ht="16.5" customHeight="1">
      <c r="B722" s="24"/>
      <c r="C722" s="24"/>
      <c r="D722" s="24"/>
      <c r="F722" s="24"/>
      <c r="G722" s="24"/>
      <c r="J722" s="24"/>
    </row>
    <row r="723" ht="16.5" customHeight="1">
      <c r="B723" s="24"/>
      <c r="C723" s="24"/>
      <c r="D723" s="24"/>
      <c r="F723" s="24"/>
      <c r="G723" s="24"/>
      <c r="J723" s="24"/>
    </row>
    <row r="724" ht="16.5" customHeight="1">
      <c r="B724" s="24"/>
      <c r="C724" s="24"/>
      <c r="D724" s="24"/>
      <c r="F724" s="24"/>
      <c r="G724" s="24"/>
      <c r="J724" s="24"/>
    </row>
    <row r="725" ht="16.5" customHeight="1">
      <c r="B725" s="24"/>
      <c r="C725" s="24"/>
      <c r="D725" s="24"/>
      <c r="F725" s="24"/>
      <c r="G725" s="24"/>
      <c r="J725" s="24"/>
    </row>
    <row r="726" ht="16.5" customHeight="1">
      <c r="B726" s="24"/>
      <c r="C726" s="24"/>
      <c r="D726" s="24"/>
      <c r="F726" s="24"/>
      <c r="G726" s="24"/>
      <c r="J726" s="24"/>
    </row>
    <row r="727" ht="16.5" customHeight="1">
      <c r="B727" s="24"/>
      <c r="C727" s="24"/>
      <c r="D727" s="24"/>
      <c r="F727" s="24"/>
      <c r="G727" s="24"/>
      <c r="J727" s="24"/>
    </row>
    <row r="728" ht="16.5" customHeight="1">
      <c r="B728" s="24"/>
      <c r="C728" s="24"/>
      <c r="D728" s="24"/>
      <c r="F728" s="24"/>
      <c r="G728" s="24"/>
      <c r="J728" s="24"/>
    </row>
    <row r="729" ht="16.5" customHeight="1">
      <c r="B729" s="24"/>
      <c r="C729" s="24"/>
      <c r="D729" s="24"/>
      <c r="F729" s="24"/>
      <c r="G729" s="24"/>
      <c r="J729" s="24"/>
    </row>
    <row r="730" ht="16.5" customHeight="1">
      <c r="B730" s="24"/>
      <c r="C730" s="24"/>
      <c r="D730" s="24"/>
      <c r="F730" s="24"/>
      <c r="G730" s="24"/>
      <c r="J730" s="24"/>
    </row>
    <row r="731" ht="16.5" customHeight="1">
      <c r="B731" s="24"/>
      <c r="C731" s="24"/>
      <c r="D731" s="24"/>
      <c r="F731" s="24"/>
      <c r="G731" s="24"/>
      <c r="J731" s="24"/>
    </row>
    <row r="732" ht="16.5" customHeight="1">
      <c r="B732" s="24"/>
      <c r="C732" s="24"/>
      <c r="D732" s="24"/>
      <c r="F732" s="24"/>
      <c r="G732" s="24"/>
      <c r="J732" s="24"/>
    </row>
    <row r="733" ht="16.5" customHeight="1">
      <c r="B733" s="24"/>
      <c r="C733" s="24"/>
      <c r="D733" s="24"/>
      <c r="F733" s="24"/>
      <c r="G733" s="24"/>
      <c r="J733" s="24"/>
    </row>
    <row r="734" ht="16.5" customHeight="1">
      <c r="B734" s="24"/>
      <c r="C734" s="24"/>
      <c r="D734" s="24"/>
      <c r="F734" s="24"/>
      <c r="G734" s="24"/>
      <c r="J734" s="24"/>
    </row>
    <row r="735" ht="16.5" customHeight="1">
      <c r="B735" s="24"/>
      <c r="C735" s="24"/>
      <c r="D735" s="24"/>
      <c r="F735" s="24"/>
      <c r="G735" s="24"/>
      <c r="J735" s="24"/>
    </row>
    <row r="736" ht="16.5" customHeight="1">
      <c r="B736" s="24"/>
      <c r="C736" s="24"/>
      <c r="D736" s="24"/>
      <c r="F736" s="24"/>
      <c r="G736" s="24"/>
      <c r="J736" s="24"/>
    </row>
    <row r="737" ht="16.5" customHeight="1">
      <c r="B737" s="24"/>
      <c r="C737" s="24"/>
      <c r="D737" s="24"/>
      <c r="F737" s="24"/>
      <c r="G737" s="24"/>
      <c r="J737" s="24"/>
    </row>
    <row r="738" ht="16.5" customHeight="1">
      <c r="B738" s="24"/>
      <c r="C738" s="24"/>
      <c r="D738" s="24"/>
      <c r="F738" s="24"/>
      <c r="G738" s="24"/>
      <c r="J738" s="24"/>
    </row>
    <row r="739" ht="16.5" customHeight="1">
      <c r="B739" s="24"/>
      <c r="C739" s="24"/>
      <c r="D739" s="24"/>
      <c r="F739" s="24"/>
      <c r="G739" s="24"/>
      <c r="J739" s="24"/>
    </row>
    <row r="740" ht="16.5" customHeight="1">
      <c r="B740" s="24"/>
      <c r="C740" s="24"/>
      <c r="D740" s="24"/>
      <c r="F740" s="24"/>
      <c r="G740" s="24"/>
      <c r="J740" s="24"/>
    </row>
    <row r="741" ht="16.5" customHeight="1">
      <c r="B741" s="24"/>
      <c r="C741" s="24"/>
      <c r="D741" s="24"/>
      <c r="F741" s="24"/>
      <c r="G741" s="24"/>
      <c r="J741" s="24"/>
    </row>
    <row r="742" ht="16.5" customHeight="1">
      <c r="B742" s="24"/>
      <c r="C742" s="24"/>
      <c r="D742" s="24"/>
      <c r="F742" s="24"/>
      <c r="G742" s="24"/>
      <c r="J742" s="24"/>
    </row>
    <row r="743" ht="16.5" customHeight="1">
      <c r="B743" s="24"/>
      <c r="C743" s="24"/>
      <c r="D743" s="24"/>
      <c r="F743" s="24"/>
      <c r="G743" s="24"/>
      <c r="J743" s="24"/>
    </row>
    <row r="744" ht="16.5" customHeight="1">
      <c r="B744" s="24"/>
      <c r="C744" s="24"/>
      <c r="D744" s="24"/>
      <c r="F744" s="24"/>
      <c r="G744" s="24"/>
      <c r="J744" s="24"/>
    </row>
    <row r="745" ht="16.5" customHeight="1">
      <c r="B745" s="24"/>
      <c r="C745" s="24"/>
      <c r="D745" s="24"/>
      <c r="F745" s="24"/>
      <c r="G745" s="24"/>
      <c r="J745" s="24"/>
    </row>
    <row r="746" ht="16.5" customHeight="1">
      <c r="B746" s="24"/>
      <c r="C746" s="24"/>
      <c r="D746" s="24"/>
      <c r="F746" s="24"/>
      <c r="G746" s="24"/>
      <c r="J746" s="24"/>
    </row>
    <row r="747" ht="16.5" customHeight="1">
      <c r="B747" s="24"/>
      <c r="C747" s="24"/>
      <c r="D747" s="24"/>
      <c r="F747" s="24"/>
      <c r="G747" s="24"/>
      <c r="J747" s="24"/>
    </row>
    <row r="748" ht="16.5" customHeight="1">
      <c r="B748" s="24"/>
      <c r="C748" s="24"/>
      <c r="D748" s="24"/>
      <c r="F748" s="24"/>
      <c r="G748" s="24"/>
      <c r="J748" s="24"/>
    </row>
    <row r="749" ht="16.5" customHeight="1">
      <c r="B749" s="24"/>
      <c r="C749" s="24"/>
      <c r="D749" s="24"/>
      <c r="F749" s="24"/>
      <c r="G749" s="24"/>
      <c r="J749" s="24"/>
    </row>
    <row r="750" ht="16.5" customHeight="1">
      <c r="B750" s="24"/>
      <c r="C750" s="24"/>
      <c r="D750" s="24"/>
      <c r="F750" s="24"/>
      <c r="G750" s="24"/>
      <c r="J750" s="24"/>
    </row>
    <row r="751" ht="16.5" customHeight="1">
      <c r="B751" s="24"/>
      <c r="C751" s="24"/>
      <c r="D751" s="24"/>
      <c r="F751" s="24"/>
      <c r="G751" s="24"/>
      <c r="J751" s="24"/>
    </row>
    <row r="752" ht="16.5" customHeight="1">
      <c r="B752" s="24"/>
      <c r="C752" s="24"/>
      <c r="D752" s="24"/>
      <c r="F752" s="24"/>
      <c r="G752" s="24"/>
      <c r="J752" s="24"/>
    </row>
    <row r="753" ht="16.5" customHeight="1">
      <c r="B753" s="24"/>
      <c r="C753" s="24"/>
      <c r="D753" s="24"/>
      <c r="F753" s="24"/>
      <c r="G753" s="24"/>
      <c r="J753" s="24"/>
    </row>
    <row r="754" ht="16.5" customHeight="1">
      <c r="B754" s="24"/>
      <c r="C754" s="24"/>
      <c r="D754" s="24"/>
      <c r="F754" s="24"/>
      <c r="G754" s="24"/>
      <c r="J754" s="24"/>
    </row>
    <row r="755" ht="16.5" customHeight="1">
      <c r="B755" s="24"/>
      <c r="C755" s="24"/>
      <c r="D755" s="24"/>
      <c r="F755" s="24"/>
      <c r="G755" s="24"/>
      <c r="J755" s="24"/>
    </row>
    <row r="756" ht="16.5" customHeight="1">
      <c r="B756" s="24"/>
      <c r="C756" s="24"/>
      <c r="D756" s="24"/>
      <c r="F756" s="24"/>
      <c r="G756" s="24"/>
      <c r="J756" s="24"/>
    </row>
    <row r="757" ht="16.5" customHeight="1">
      <c r="B757" s="24"/>
      <c r="C757" s="24"/>
      <c r="D757" s="24"/>
      <c r="F757" s="24"/>
      <c r="G757" s="24"/>
      <c r="J757" s="24"/>
    </row>
    <row r="758" ht="16.5" customHeight="1">
      <c r="B758" s="24"/>
      <c r="C758" s="24"/>
      <c r="D758" s="24"/>
      <c r="F758" s="24"/>
      <c r="G758" s="24"/>
      <c r="J758" s="24"/>
    </row>
    <row r="759" ht="16.5" customHeight="1">
      <c r="B759" s="24"/>
      <c r="C759" s="24"/>
      <c r="D759" s="24"/>
      <c r="F759" s="24"/>
      <c r="G759" s="24"/>
      <c r="J759" s="24"/>
    </row>
    <row r="760" ht="16.5" customHeight="1">
      <c r="B760" s="24"/>
      <c r="C760" s="24"/>
      <c r="D760" s="24"/>
      <c r="F760" s="24"/>
      <c r="G760" s="24"/>
      <c r="J760" s="24"/>
    </row>
    <row r="761" ht="16.5" customHeight="1">
      <c r="B761" s="24"/>
      <c r="C761" s="24"/>
      <c r="D761" s="24"/>
      <c r="F761" s="24"/>
      <c r="G761" s="24"/>
      <c r="J761" s="24"/>
    </row>
    <row r="762" ht="16.5" customHeight="1">
      <c r="B762" s="24"/>
      <c r="C762" s="24"/>
      <c r="D762" s="24"/>
      <c r="F762" s="24"/>
      <c r="G762" s="24"/>
      <c r="J762" s="24"/>
    </row>
    <row r="763" ht="16.5" customHeight="1">
      <c r="B763" s="24"/>
      <c r="C763" s="24"/>
      <c r="D763" s="24"/>
      <c r="F763" s="24"/>
      <c r="G763" s="24"/>
      <c r="J763" s="24"/>
    </row>
    <row r="764" ht="16.5" customHeight="1">
      <c r="B764" s="24"/>
      <c r="C764" s="24"/>
      <c r="D764" s="24"/>
      <c r="F764" s="24"/>
      <c r="G764" s="24"/>
      <c r="J764" s="24"/>
    </row>
    <row r="765" ht="16.5" customHeight="1">
      <c r="B765" s="24"/>
      <c r="C765" s="24"/>
      <c r="D765" s="24"/>
      <c r="F765" s="24"/>
      <c r="G765" s="24"/>
      <c r="J765" s="24"/>
    </row>
    <row r="766" ht="16.5" customHeight="1">
      <c r="B766" s="24"/>
      <c r="C766" s="24"/>
      <c r="D766" s="24"/>
      <c r="F766" s="24"/>
      <c r="G766" s="24"/>
      <c r="J766" s="24"/>
    </row>
    <row r="767" ht="16.5" customHeight="1">
      <c r="B767" s="24"/>
      <c r="C767" s="24"/>
      <c r="D767" s="24"/>
      <c r="F767" s="24"/>
      <c r="G767" s="24"/>
      <c r="J767" s="24"/>
    </row>
    <row r="768" ht="16.5" customHeight="1">
      <c r="B768" s="24"/>
      <c r="C768" s="24"/>
      <c r="D768" s="24"/>
      <c r="F768" s="24"/>
      <c r="G768" s="24"/>
      <c r="J768" s="24"/>
    </row>
    <row r="769" ht="16.5" customHeight="1">
      <c r="B769" s="24"/>
      <c r="C769" s="24"/>
      <c r="D769" s="24"/>
      <c r="F769" s="24"/>
      <c r="G769" s="24"/>
      <c r="J769" s="24"/>
    </row>
    <row r="770" ht="16.5" customHeight="1">
      <c r="B770" s="24"/>
      <c r="C770" s="24"/>
      <c r="D770" s="24"/>
      <c r="F770" s="24"/>
      <c r="G770" s="24"/>
      <c r="J770" s="24"/>
    </row>
    <row r="771" ht="16.5" customHeight="1">
      <c r="B771" s="24"/>
      <c r="C771" s="24"/>
      <c r="D771" s="24"/>
      <c r="F771" s="24"/>
      <c r="G771" s="24"/>
      <c r="J771" s="24"/>
    </row>
    <row r="772" ht="16.5" customHeight="1">
      <c r="B772" s="24"/>
      <c r="C772" s="24"/>
      <c r="D772" s="24"/>
      <c r="F772" s="24"/>
      <c r="G772" s="24"/>
      <c r="J772" s="24"/>
    </row>
    <row r="773" ht="16.5" customHeight="1">
      <c r="B773" s="24"/>
      <c r="C773" s="24"/>
      <c r="D773" s="24"/>
      <c r="F773" s="24"/>
      <c r="G773" s="24"/>
      <c r="J773" s="24"/>
    </row>
    <row r="774" ht="16.5" customHeight="1">
      <c r="B774" s="24"/>
      <c r="C774" s="24"/>
      <c r="D774" s="24"/>
      <c r="F774" s="24"/>
      <c r="G774" s="24"/>
      <c r="J774" s="24"/>
    </row>
    <row r="775" ht="16.5" customHeight="1">
      <c r="B775" s="24"/>
      <c r="C775" s="24"/>
      <c r="D775" s="24"/>
      <c r="F775" s="24"/>
      <c r="G775" s="24"/>
      <c r="J775" s="24"/>
    </row>
    <row r="776" ht="16.5" customHeight="1">
      <c r="B776" s="24"/>
      <c r="C776" s="24"/>
      <c r="D776" s="24"/>
      <c r="F776" s="24"/>
      <c r="G776" s="24"/>
      <c r="J776" s="24"/>
    </row>
    <row r="777" ht="16.5" customHeight="1">
      <c r="B777" s="24"/>
      <c r="C777" s="24"/>
      <c r="D777" s="24"/>
      <c r="F777" s="24"/>
      <c r="G777" s="24"/>
      <c r="J777" s="24"/>
    </row>
    <row r="778" ht="16.5" customHeight="1">
      <c r="B778" s="24"/>
      <c r="C778" s="24"/>
      <c r="D778" s="24"/>
      <c r="F778" s="24"/>
      <c r="G778" s="24"/>
      <c r="J778" s="24"/>
    </row>
    <row r="779" ht="16.5" customHeight="1">
      <c r="B779" s="24"/>
      <c r="C779" s="24"/>
      <c r="D779" s="24"/>
      <c r="F779" s="24"/>
      <c r="G779" s="24"/>
      <c r="J779" s="24"/>
    </row>
    <row r="780" ht="16.5" customHeight="1">
      <c r="B780" s="24"/>
      <c r="C780" s="24"/>
      <c r="D780" s="24"/>
      <c r="F780" s="24"/>
      <c r="G780" s="24"/>
      <c r="J780" s="24"/>
    </row>
    <row r="781" ht="16.5" customHeight="1">
      <c r="B781" s="24"/>
      <c r="C781" s="24"/>
      <c r="D781" s="24"/>
      <c r="F781" s="24"/>
      <c r="G781" s="24"/>
      <c r="J781" s="24"/>
    </row>
    <row r="782" ht="16.5" customHeight="1">
      <c r="B782" s="24"/>
      <c r="C782" s="24"/>
      <c r="D782" s="24"/>
      <c r="F782" s="24"/>
      <c r="G782" s="24"/>
      <c r="J782" s="24"/>
    </row>
    <row r="783" ht="16.5" customHeight="1">
      <c r="B783" s="24"/>
      <c r="C783" s="24"/>
      <c r="D783" s="24"/>
      <c r="F783" s="24"/>
      <c r="G783" s="24"/>
      <c r="J783" s="24"/>
    </row>
    <row r="784" ht="16.5" customHeight="1">
      <c r="B784" s="24"/>
      <c r="C784" s="24"/>
      <c r="D784" s="24"/>
      <c r="F784" s="24"/>
      <c r="G784" s="24"/>
      <c r="J784" s="24"/>
    </row>
    <row r="785" ht="16.5" customHeight="1">
      <c r="B785" s="24"/>
      <c r="C785" s="24"/>
      <c r="D785" s="24"/>
      <c r="F785" s="24"/>
      <c r="G785" s="24"/>
      <c r="J785" s="24"/>
    </row>
    <row r="786" ht="16.5" customHeight="1">
      <c r="B786" s="24"/>
      <c r="C786" s="24"/>
      <c r="D786" s="24"/>
      <c r="F786" s="24"/>
      <c r="G786" s="24"/>
      <c r="J786" s="24"/>
    </row>
    <row r="787" ht="16.5" customHeight="1">
      <c r="B787" s="24"/>
      <c r="C787" s="24"/>
      <c r="D787" s="24"/>
      <c r="F787" s="24"/>
      <c r="G787" s="24"/>
      <c r="J787" s="24"/>
    </row>
    <row r="788" ht="16.5" customHeight="1">
      <c r="B788" s="24"/>
      <c r="C788" s="24"/>
      <c r="D788" s="24"/>
      <c r="F788" s="24"/>
      <c r="G788" s="24"/>
      <c r="J788" s="24"/>
    </row>
    <row r="789" ht="16.5" customHeight="1">
      <c r="B789" s="24"/>
      <c r="C789" s="24"/>
      <c r="D789" s="24"/>
      <c r="F789" s="24"/>
      <c r="G789" s="24"/>
      <c r="J789" s="24"/>
    </row>
    <row r="790" ht="16.5" customHeight="1">
      <c r="B790" s="24"/>
      <c r="C790" s="24"/>
      <c r="D790" s="24"/>
      <c r="F790" s="24"/>
      <c r="G790" s="24"/>
      <c r="J790" s="24"/>
    </row>
    <row r="791" ht="16.5" customHeight="1">
      <c r="B791" s="24"/>
      <c r="C791" s="24"/>
      <c r="D791" s="24"/>
      <c r="F791" s="24"/>
      <c r="G791" s="24"/>
      <c r="J791" s="24"/>
    </row>
    <row r="792" ht="16.5" customHeight="1">
      <c r="B792" s="24"/>
      <c r="C792" s="24"/>
      <c r="D792" s="24"/>
      <c r="F792" s="24"/>
      <c r="G792" s="24"/>
      <c r="J792" s="24"/>
    </row>
    <row r="793" ht="16.5" customHeight="1">
      <c r="B793" s="24"/>
      <c r="C793" s="24"/>
      <c r="D793" s="24"/>
      <c r="F793" s="24"/>
      <c r="G793" s="24"/>
      <c r="J793" s="24"/>
    </row>
    <row r="794" ht="16.5" customHeight="1">
      <c r="B794" s="24"/>
      <c r="C794" s="24"/>
      <c r="D794" s="24"/>
      <c r="F794" s="24"/>
      <c r="G794" s="24"/>
      <c r="J794" s="24"/>
    </row>
    <row r="795" ht="16.5" customHeight="1">
      <c r="B795" s="24"/>
      <c r="C795" s="24"/>
      <c r="D795" s="24"/>
      <c r="F795" s="24"/>
      <c r="G795" s="24"/>
      <c r="J795" s="24"/>
    </row>
    <row r="796" ht="16.5" customHeight="1">
      <c r="B796" s="24"/>
      <c r="C796" s="24"/>
      <c r="D796" s="24"/>
      <c r="F796" s="24"/>
      <c r="G796" s="24"/>
      <c r="J796" s="24"/>
    </row>
    <row r="797" ht="16.5" customHeight="1">
      <c r="B797" s="24"/>
      <c r="C797" s="24"/>
      <c r="D797" s="24"/>
      <c r="F797" s="24"/>
      <c r="G797" s="24"/>
      <c r="J797" s="24"/>
    </row>
    <row r="798" ht="16.5" customHeight="1">
      <c r="B798" s="24"/>
      <c r="C798" s="24"/>
      <c r="D798" s="24"/>
      <c r="F798" s="24"/>
      <c r="G798" s="24"/>
      <c r="J798" s="24"/>
    </row>
    <row r="799" ht="16.5" customHeight="1">
      <c r="B799" s="24"/>
      <c r="C799" s="24"/>
      <c r="D799" s="24"/>
      <c r="F799" s="24"/>
      <c r="G799" s="24"/>
      <c r="J799" s="24"/>
    </row>
    <row r="800" ht="16.5" customHeight="1">
      <c r="B800" s="24"/>
      <c r="C800" s="24"/>
      <c r="D800" s="24"/>
      <c r="F800" s="24"/>
      <c r="G800" s="24"/>
      <c r="J800" s="24"/>
    </row>
    <row r="801" ht="16.5" customHeight="1">
      <c r="B801" s="24"/>
      <c r="C801" s="24"/>
      <c r="D801" s="24"/>
      <c r="F801" s="24"/>
      <c r="G801" s="24"/>
      <c r="J801" s="24"/>
    </row>
    <row r="802" ht="16.5" customHeight="1">
      <c r="B802" s="24"/>
      <c r="C802" s="24"/>
      <c r="D802" s="24"/>
      <c r="F802" s="24"/>
      <c r="G802" s="24"/>
      <c r="J802" s="24"/>
    </row>
    <row r="803" ht="16.5" customHeight="1">
      <c r="B803" s="24"/>
      <c r="C803" s="24"/>
      <c r="D803" s="24"/>
      <c r="F803" s="24"/>
      <c r="G803" s="24"/>
      <c r="J803" s="24"/>
    </row>
    <row r="804" ht="16.5" customHeight="1">
      <c r="B804" s="24"/>
      <c r="C804" s="24"/>
      <c r="D804" s="24"/>
      <c r="F804" s="24"/>
      <c r="G804" s="24"/>
      <c r="J804" s="24"/>
    </row>
    <row r="805" ht="16.5" customHeight="1">
      <c r="B805" s="24"/>
      <c r="C805" s="24"/>
      <c r="D805" s="24"/>
      <c r="F805" s="24"/>
      <c r="G805" s="24"/>
      <c r="J805" s="24"/>
    </row>
    <row r="806" ht="16.5" customHeight="1">
      <c r="B806" s="24"/>
      <c r="C806" s="24"/>
      <c r="D806" s="24"/>
      <c r="F806" s="24"/>
      <c r="G806" s="24"/>
      <c r="J806" s="24"/>
    </row>
    <row r="807" ht="16.5" customHeight="1">
      <c r="B807" s="24"/>
      <c r="C807" s="24"/>
      <c r="D807" s="24"/>
      <c r="F807" s="24"/>
      <c r="G807" s="24"/>
      <c r="J807" s="24"/>
    </row>
    <row r="808" ht="16.5" customHeight="1">
      <c r="B808" s="24"/>
      <c r="C808" s="24"/>
      <c r="D808" s="24"/>
      <c r="F808" s="24"/>
      <c r="G808" s="24"/>
      <c r="J808" s="24"/>
    </row>
    <row r="809" ht="16.5" customHeight="1">
      <c r="B809" s="24"/>
      <c r="C809" s="24"/>
      <c r="D809" s="24"/>
      <c r="F809" s="24"/>
      <c r="G809" s="24"/>
      <c r="J809" s="24"/>
    </row>
    <row r="810" ht="16.5" customHeight="1">
      <c r="B810" s="24"/>
      <c r="C810" s="24"/>
      <c r="D810" s="24"/>
      <c r="F810" s="24"/>
      <c r="G810" s="24"/>
      <c r="J810" s="24"/>
    </row>
    <row r="811" ht="16.5" customHeight="1">
      <c r="B811" s="24"/>
      <c r="C811" s="24"/>
      <c r="D811" s="24"/>
      <c r="F811" s="24"/>
      <c r="G811" s="24"/>
      <c r="J811" s="24"/>
    </row>
    <row r="812" ht="16.5" customHeight="1">
      <c r="B812" s="24"/>
      <c r="C812" s="24"/>
      <c r="D812" s="24"/>
      <c r="F812" s="24"/>
      <c r="G812" s="24"/>
      <c r="J812" s="24"/>
    </row>
    <row r="813" ht="16.5" customHeight="1">
      <c r="B813" s="24"/>
      <c r="C813" s="24"/>
      <c r="D813" s="24"/>
      <c r="F813" s="24"/>
      <c r="G813" s="24"/>
      <c r="J813" s="24"/>
    </row>
    <row r="814" ht="16.5" customHeight="1">
      <c r="B814" s="24"/>
      <c r="C814" s="24"/>
      <c r="D814" s="24"/>
      <c r="F814" s="24"/>
      <c r="G814" s="24"/>
      <c r="J814" s="24"/>
    </row>
    <row r="815" ht="16.5" customHeight="1">
      <c r="B815" s="24"/>
      <c r="C815" s="24"/>
      <c r="D815" s="24"/>
      <c r="F815" s="24"/>
      <c r="G815" s="24"/>
      <c r="J815" s="24"/>
    </row>
    <row r="816" ht="16.5" customHeight="1">
      <c r="B816" s="24"/>
      <c r="C816" s="24"/>
      <c r="D816" s="24"/>
      <c r="F816" s="24"/>
      <c r="G816" s="24"/>
      <c r="J816" s="24"/>
    </row>
    <row r="817" ht="16.5" customHeight="1">
      <c r="B817" s="24"/>
      <c r="C817" s="24"/>
      <c r="D817" s="24"/>
      <c r="F817" s="24"/>
      <c r="G817" s="24"/>
      <c r="J817" s="24"/>
    </row>
    <row r="818" ht="16.5" customHeight="1">
      <c r="B818" s="24"/>
      <c r="C818" s="24"/>
      <c r="D818" s="24"/>
      <c r="F818" s="24"/>
      <c r="G818" s="24"/>
      <c r="J818" s="24"/>
    </row>
    <row r="819" ht="16.5" customHeight="1">
      <c r="B819" s="24"/>
      <c r="C819" s="24"/>
      <c r="D819" s="24"/>
      <c r="F819" s="24"/>
      <c r="G819" s="24"/>
      <c r="J819" s="24"/>
    </row>
    <row r="820" ht="16.5" customHeight="1">
      <c r="B820" s="24"/>
      <c r="C820" s="24"/>
      <c r="D820" s="24"/>
      <c r="F820" s="24"/>
      <c r="G820" s="24"/>
      <c r="J820" s="24"/>
    </row>
    <row r="821" ht="16.5" customHeight="1">
      <c r="B821" s="24"/>
      <c r="C821" s="24"/>
      <c r="D821" s="24"/>
      <c r="F821" s="24"/>
      <c r="G821" s="24"/>
      <c r="J821" s="24"/>
    </row>
    <row r="822" ht="16.5" customHeight="1">
      <c r="B822" s="24"/>
      <c r="C822" s="24"/>
      <c r="D822" s="24"/>
      <c r="F822" s="24"/>
      <c r="G822" s="24"/>
      <c r="J822" s="24"/>
    </row>
    <row r="823" ht="16.5" customHeight="1">
      <c r="B823" s="24"/>
      <c r="C823" s="24"/>
      <c r="D823" s="24"/>
      <c r="F823" s="24"/>
      <c r="G823" s="24"/>
      <c r="J823" s="24"/>
    </row>
    <row r="824" ht="16.5" customHeight="1">
      <c r="B824" s="24"/>
      <c r="C824" s="24"/>
      <c r="D824" s="24"/>
      <c r="F824" s="24"/>
      <c r="G824" s="24"/>
      <c r="J824" s="24"/>
    </row>
    <row r="825" ht="16.5" customHeight="1">
      <c r="B825" s="24"/>
      <c r="C825" s="24"/>
      <c r="D825" s="24"/>
      <c r="F825" s="24"/>
      <c r="G825" s="24"/>
      <c r="J825" s="24"/>
    </row>
    <row r="826" ht="16.5" customHeight="1">
      <c r="B826" s="24"/>
      <c r="C826" s="24"/>
      <c r="D826" s="24"/>
      <c r="F826" s="24"/>
      <c r="G826" s="24"/>
      <c r="J826" s="24"/>
    </row>
    <row r="827" ht="16.5" customHeight="1">
      <c r="B827" s="24"/>
      <c r="C827" s="24"/>
      <c r="D827" s="24"/>
      <c r="F827" s="24"/>
      <c r="G827" s="24"/>
      <c r="J827" s="24"/>
    </row>
    <row r="828" ht="16.5" customHeight="1">
      <c r="B828" s="24"/>
      <c r="C828" s="24"/>
      <c r="D828" s="24"/>
      <c r="F828" s="24"/>
      <c r="G828" s="24"/>
      <c r="J828" s="24"/>
    </row>
    <row r="829" ht="16.5" customHeight="1">
      <c r="B829" s="24"/>
      <c r="C829" s="24"/>
      <c r="D829" s="24"/>
      <c r="F829" s="24"/>
      <c r="G829" s="24"/>
      <c r="J829" s="24"/>
    </row>
    <row r="830" ht="16.5" customHeight="1">
      <c r="B830" s="24"/>
      <c r="C830" s="24"/>
      <c r="D830" s="24"/>
      <c r="F830" s="24"/>
      <c r="G830" s="24"/>
      <c r="J830" s="24"/>
    </row>
    <row r="831" ht="16.5" customHeight="1">
      <c r="B831" s="24"/>
      <c r="C831" s="24"/>
      <c r="D831" s="24"/>
      <c r="F831" s="24"/>
      <c r="G831" s="24"/>
      <c r="J831" s="24"/>
    </row>
    <row r="832" ht="16.5" customHeight="1">
      <c r="B832" s="24"/>
      <c r="C832" s="24"/>
      <c r="D832" s="24"/>
      <c r="F832" s="24"/>
      <c r="G832" s="24"/>
      <c r="J832" s="24"/>
    </row>
    <row r="833" ht="16.5" customHeight="1">
      <c r="B833" s="24"/>
      <c r="C833" s="24"/>
      <c r="D833" s="24"/>
      <c r="F833" s="24"/>
      <c r="G833" s="24"/>
      <c r="J833" s="24"/>
    </row>
    <row r="834" ht="16.5" customHeight="1">
      <c r="B834" s="24"/>
      <c r="C834" s="24"/>
      <c r="D834" s="24"/>
      <c r="F834" s="24"/>
      <c r="G834" s="24"/>
      <c r="J834" s="24"/>
    </row>
    <row r="835" ht="16.5" customHeight="1">
      <c r="B835" s="24"/>
      <c r="C835" s="24"/>
      <c r="D835" s="24"/>
      <c r="F835" s="24"/>
      <c r="G835" s="24"/>
      <c r="J835" s="24"/>
    </row>
    <row r="836" ht="16.5" customHeight="1">
      <c r="B836" s="24"/>
      <c r="C836" s="24"/>
      <c r="D836" s="24"/>
      <c r="F836" s="24"/>
      <c r="G836" s="24"/>
      <c r="J836" s="24"/>
    </row>
    <row r="837" ht="16.5" customHeight="1">
      <c r="B837" s="24"/>
      <c r="C837" s="24"/>
      <c r="D837" s="24"/>
      <c r="F837" s="24"/>
      <c r="G837" s="24"/>
      <c r="J837" s="24"/>
    </row>
    <row r="838" ht="16.5" customHeight="1">
      <c r="B838" s="24"/>
      <c r="C838" s="24"/>
      <c r="D838" s="24"/>
      <c r="F838" s="24"/>
      <c r="G838" s="24"/>
      <c r="J838" s="24"/>
    </row>
    <row r="839" ht="16.5" customHeight="1">
      <c r="B839" s="24"/>
      <c r="C839" s="24"/>
      <c r="D839" s="24"/>
      <c r="F839" s="24"/>
      <c r="G839" s="24"/>
      <c r="J839" s="24"/>
    </row>
    <row r="840" ht="16.5" customHeight="1">
      <c r="B840" s="24"/>
      <c r="C840" s="24"/>
      <c r="D840" s="24"/>
      <c r="F840" s="24"/>
      <c r="G840" s="24"/>
      <c r="J840" s="24"/>
    </row>
    <row r="841" ht="16.5" customHeight="1">
      <c r="B841" s="24"/>
      <c r="C841" s="24"/>
      <c r="D841" s="24"/>
      <c r="F841" s="24"/>
      <c r="G841" s="24"/>
      <c r="J841" s="24"/>
    </row>
    <row r="842" ht="16.5" customHeight="1">
      <c r="B842" s="24"/>
      <c r="C842" s="24"/>
      <c r="D842" s="24"/>
      <c r="F842" s="24"/>
      <c r="G842" s="24"/>
      <c r="J842" s="24"/>
    </row>
    <row r="843" ht="16.5" customHeight="1">
      <c r="B843" s="24"/>
      <c r="C843" s="24"/>
      <c r="D843" s="24"/>
      <c r="F843" s="24"/>
      <c r="G843" s="24"/>
      <c r="J843" s="24"/>
    </row>
    <row r="844" ht="16.5" customHeight="1">
      <c r="B844" s="24"/>
      <c r="C844" s="24"/>
      <c r="D844" s="24"/>
      <c r="F844" s="24"/>
      <c r="G844" s="24"/>
      <c r="J844" s="24"/>
    </row>
    <row r="845" ht="16.5" customHeight="1">
      <c r="B845" s="24"/>
      <c r="C845" s="24"/>
      <c r="D845" s="24"/>
      <c r="F845" s="24"/>
      <c r="G845" s="24"/>
      <c r="J845" s="24"/>
    </row>
    <row r="846" ht="16.5" customHeight="1">
      <c r="B846" s="24"/>
      <c r="C846" s="24"/>
      <c r="D846" s="24"/>
      <c r="F846" s="24"/>
      <c r="G846" s="24"/>
      <c r="J846" s="24"/>
    </row>
    <row r="847" ht="16.5" customHeight="1">
      <c r="B847" s="24"/>
      <c r="C847" s="24"/>
      <c r="D847" s="24"/>
      <c r="F847" s="24"/>
      <c r="G847" s="24"/>
      <c r="J847" s="24"/>
    </row>
    <row r="848" ht="16.5" customHeight="1">
      <c r="B848" s="24"/>
      <c r="C848" s="24"/>
      <c r="D848" s="24"/>
      <c r="F848" s="24"/>
      <c r="G848" s="24"/>
      <c r="J848" s="24"/>
    </row>
    <row r="849" ht="16.5" customHeight="1">
      <c r="B849" s="24"/>
      <c r="C849" s="24"/>
      <c r="D849" s="24"/>
      <c r="F849" s="24"/>
      <c r="G849" s="24"/>
      <c r="J849" s="24"/>
    </row>
    <row r="850" ht="16.5" customHeight="1">
      <c r="B850" s="24"/>
      <c r="C850" s="24"/>
      <c r="D850" s="24"/>
      <c r="F850" s="24"/>
      <c r="G850" s="24"/>
      <c r="J850" s="24"/>
    </row>
    <row r="851" ht="16.5" customHeight="1">
      <c r="B851" s="24"/>
      <c r="C851" s="24"/>
      <c r="D851" s="24"/>
      <c r="F851" s="24"/>
      <c r="G851" s="24"/>
      <c r="J851" s="24"/>
    </row>
    <row r="852" ht="16.5" customHeight="1">
      <c r="B852" s="24"/>
      <c r="C852" s="24"/>
      <c r="D852" s="24"/>
      <c r="F852" s="24"/>
      <c r="G852" s="24"/>
      <c r="J852" s="24"/>
    </row>
    <row r="853" ht="16.5" customHeight="1">
      <c r="B853" s="24"/>
      <c r="C853" s="24"/>
      <c r="D853" s="24"/>
      <c r="F853" s="24"/>
      <c r="G853" s="24"/>
      <c r="J853" s="24"/>
    </row>
    <row r="854" ht="16.5" customHeight="1">
      <c r="B854" s="24"/>
      <c r="C854" s="24"/>
      <c r="D854" s="24"/>
      <c r="F854" s="24"/>
      <c r="G854" s="24"/>
      <c r="J854" s="24"/>
    </row>
    <row r="855" ht="16.5" customHeight="1">
      <c r="B855" s="24"/>
      <c r="C855" s="24"/>
      <c r="D855" s="24"/>
      <c r="F855" s="24"/>
      <c r="G855" s="24"/>
      <c r="J855" s="24"/>
    </row>
    <row r="856" ht="16.5" customHeight="1">
      <c r="B856" s="24"/>
      <c r="C856" s="24"/>
      <c r="D856" s="24"/>
      <c r="F856" s="24"/>
      <c r="G856" s="24"/>
      <c r="J856" s="24"/>
    </row>
    <row r="857" ht="16.5" customHeight="1">
      <c r="B857" s="24"/>
      <c r="C857" s="24"/>
      <c r="D857" s="24"/>
      <c r="F857" s="24"/>
      <c r="G857" s="24"/>
      <c r="J857" s="24"/>
    </row>
    <row r="858" ht="16.5" customHeight="1">
      <c r="B858" s="24"/>
      <c r="C858" s="24"/>
      <c r="D858" s="24"/>
      <c r="F858" s="24"/>
      <c r="G858" s="24"/>
      <c r="J858" s="24"/>
    </row>
    <row r="859" ht="16.5" customHeight="1">
      <c r="B859" s="24"/>
      <c r="C859" s="24"/>
      <c r="D859" s="24"/>
      <c r="F859" s="24"/>
      <c r="G859" s="24"/>
      <c r="J859" s="24"/>
    </row>
    <row r="860" ht="16.5" customHeight="1">
      <c r="B860" s="24"/>
      <c r="C860" s="24"/>
      <c r="D860" s="24"/>
      <c r="F860" s="24"/>
      <c r="G860" s="24"/>
      <c r="J860" s="24"/>
    </row>
    <row r="861" ht="16.5" customHeight="1">
      <c r="B861" s="24"/>
      <c r="C861" s="24"/>
      <c r="D861" s="24"/>
      <c r="F861" s="24"/>
      <c r="G861" s="24"/>
      <c r="J861" s="24"/>
    </row>
    <row r="862" ht="16.5" customHeight="1">
      <c r="B862" s="24"/>
      <c r="C862" s="24"/>
      <c r="D862" s="24"/>
      <c r="F862" s="24"/>
      <c r="G862" s="24"/>
      <c r="J862" s="24"/>
    </row>
    <row r="863" ht="16.5" customHeight="1">
      <c r="B863" s="24"/>
      <c r="C863" s="24"/>
      <c r="D863" s="24"/>
      <c r="F863" s="24"/>
      <c r="G863" s="24"/>
      <c r="J863" s="24"/>
    </row>
    <row r="864" ht="16.5" customHeight="1">
      <c r="B864" s="24"/>
      <c r="C864" s="24"/>
      <c r="D864" s="24"/>
      <c r="F864" s="24"/>
      <c r="G864" s="24"/>
      <c r="J864" s="24"/>
    </row>
    <row r="865" ht="16.5" customHeight="1">
      <c r="B865" s="24"/>
      <c r="C865" s="24"/>
      <c r="D865" s="24"/>
      <c r="F865" s="24"/>
      <c r="G865" s="24"/>
      <c r="J865" s="24"/>
    </row>
    <row r="866" ht="16.5" customHeight="1">
      <c r="B866" s="24"/>
      <c r="C866" s="24"/>
      <c r="D866" s="24"/>
      <c r="F866" s="24"/>
      <c r="G866" s="24"/>
      <c r="J866" s="24"/>
    </row>
    <row r="867" ht="16.5" customHeight="1">
      <c r="B867" s="24"/>
      <c r="C867" s="24"/>
      <c r="D867" s="24"/>
      <c r="F867" s="24"/>
      <c r="G867" s="24"/>
      <c r="J867" s="24"/>
    </row>
    <row r="868" ht="16.5" customHeight="1">
      <c r="B868" s="24"/>
      <c r="C868" s="24"/>
      <c r="D868" s="24"/>
      <c r="F868" s="24"/>
      <c r="G868" s="24"/>
      <c r="J868" s="24"/>
    </row>
    <row r="869" ht="16.5" customHeight="1">
      <c r="B869" s="24"/>
      <c r="C869" s="24"/>
      <c r="D869" s="24"/>
      <c r="F869" s="24"/>
      <c r="G869" s="24"/>
      <c r="J869" s="24"/>
    </row>
    <row r="870" ht="16.5" customHeight="1">
      <c r="B870" s="24"/>
      <c r="C870" s="24"/>
      <c r="D870" s="24"/>
      <c r="F870" s="24"/>
      <c r="G870" s="24"/>
      <c r="J870" s="24"/>
    </row>
    <row r="871" ht="16.5" customHeight="1">
      <c r="B871" s="24"/>
      <c r="C871" s="24"/>
      <c r="D871" s="24"/>
      <c r="F871" s="24"/>
      <c r="G871" s="24"/>
      <c r="J871" s="24"/>
    </row>
    <row r="872" ht="16.5" customHeight="1">
      <c r="B872" s="24"/>
      <c r="C872" s="24"/>
      <c r="D872" s="24"/>
      <c r="F872" s="24"/>
      <c r="G872" s="24"/>
      <c r="J872" s="24"/>
    </row>
    <row r="873" ht="16.5" customHeight="1">
      <c r="B873" s="24"/>
      <c r="C873" s="24"/>
      <c r="D873" s="24"/>
      <c r="F873" s="24"/>
      <c r="G873" s="24"/>
      <c r="J873" s="24"/>
    </row>
    <row r="874" ht="16.5" customHeight="1">
      <c r="B874" s="24"/>
      <c r="C874" s="24"/>
      <c r="D874" s="24"/>
      <c r="F874" s="24"/>
      <c r="G874" s="24"/>
      <c r="J874" s="24"/>
    </row>
    <row r="875" ht="16.5" customHeight="1">
      <c r="B875" s="24"/>
      <c r="C875" s="24"/>
      <c r="D875" s="24"/>
      <c r="F875" s="24"/>
      <c r="G875" s="24"/>
      <c r="J875" s="24"/>
    </row>
    <row r="876" ht="16.5" customHeight="1">
      <c r="B876" s="24"/>
      <c r="C876" s="24"/>
      <c r="D876" s="24"/>
      <c r="F876" s="24"/>
      <c r="G876" s="24"/>
      <c r="J876" s="24"/>
    </row>
    <row r="877" ht="16.5" customHeight="1">
      <c r="B877" s="24"/>
      <c r="C877" s="24"/>
      <c r="D877" s="24"/>
      <c r="F877" s="24"/>
      <c r="G877" s="24"/>
      <c r="J877" s="24"/>
    </row>
    <row r="878" ht="16.5" customHeight="1">
      <c r="B878" s="24"/>
      <c r="C878" s="24"/>
      <c r="D878" s="24"/>
      <c r="F878" s="24"/>
      <c r="G878" s="24"/>
      <c r="J878" s="24"/>
    </row>
    <row r="879" ht="16.5" customHeight="1">
      <c r="B879" s="24"/>
      <c r="C879" s="24"/>
      <c r="D879" s="24"/>
      <c r="F879" s="24"/>
      <c r="G879" s="24"/>
      <c r="J879" s="24"/>
    </row>
    <row r="880" ht="16.5" customHeight="1">
      <c r="B880" s="24"/>
      <c r="C880" s="24"/>
      <c r="D880" s="24"/>
      <c r="F880" s="24"/>
      <c r="G880" s="24"/>
      <c r="J880" s="24"/>
    </row>
    <row r="881" ht="16.5" customHeight="1">
      <c r="B881" s="24"/>
      <c r="C881" s="24"/>
      <c r="D881" s="24"/>
      <c r="F881" s="24"/>
      <c r="G881" s="24"/>
      <c r="J881" s="24"/>
    </row>
    <row r="882" ht="16.5" customHeight="1">
      <c r="B882" s="24"/>
      <c r="C882" s="24"/>
      <c r="D882" s="24"/>
      <c r="F882" s="24"/>
      <c r="G882" s="24"/>
      <c r="J882" s="24"/>
    </row>
    <row r="883" ht="16.5" customHeight="1">
      <c r="B883" s="24"/>
      <c r="C883" s="24"/>
      <c r="D883" s="24"/>
      <c r="F883" s="24"/>
      <c r="G883" s="24"/>
      <c r="J883" s="24"/>
    </row>
    <row r="884" ht="16.5" customHeight="1">
      <c r="B884" s="24"/>
      <c r="C884" s="24"/>
      <c r="D884" s="24"/>
      <c r="F884" s="24"/>
      <c r="G884" s="24"/>
      <c r="J884" s="24"/>
    </row>
    <row r="885" ht="16.5" customHeight="1">
      <c r="B885" s="24"/>
      <c r="C885" s="24"/>
      <c r="D885" s="24"/>
      <c r="F885" s="24"/>
      <c r="G885" s="24"/>
      <c r="J885" s="24"/>
    </row>
    <row r="886" ht="16.5" customHeight="1">
      <c r="B886" s="24"/>
      <c r="C886" s="24"/>
      <c r="D886" s="24"/>
      <c r="F886" s="24"/>
      <c r="G886" s="24"/>
      <c r="J886" s="24"/>
    </row>
    <row r="887" ht="16.5" customHeight="1">
      <c r="B887" s="24"/>
      <c r="C887" s="24"/>
      <c r="D887" s="24"/>
      <c r="F887" s="24"/>
      <c r="G887" s="24"/>
      <c r="J887" s="24"/>
    </row>
    <row r="888" ht="16.5" customHeight="1">
      <c r="B888" s="24"/>
      <c r="C888" s="24"/>
      <c r="D888" s="24"/>
      <c r="F888" s="24"/>
      <c r="G888" s="24"/>
      <c r="J888" s="24"/>
    </row>
    <row r="889" ht="16.5" customHeight="1">
      <c r="B889" s="24"/>
      <c r="C889" s="24"/>
      <c r="D889" s="24"/>
      <c r="F889" s="24"/>
      <c r="G889" s="24"/>
      <c r="J889" s="24"/>
    </row>
    <row r="890" ht="16.5" customHeight="1">
      <c r="B890" s="24"/>
      <c r="C890" s="24"/>
      <c r="D890" s="24"/>
      <c r="F890" s="24"/>
      <c r="G890" s="24"/>
      <c r="J890" s="24"/>
    </row>
    <row r="891" ht="16.5" customHeight="1">
      <c r="B891" s="24"/>
      <c r="C891" s="24"/>
      <c r="D891" s="24"/>
      <c r="F891" s="24"/>
      <c r="G891" s="24"/>
      <c r="J891" s="24"/>
    </row>
    <row r="892" ht="16.5" customHeight="1">
      <c r="B892" s="24"/>
      <c r="C892" s="24"/>
      <c r="D892" s="24"/>
      <c r="F892" s="24"/>
      <c r="G892" s="24"/>
      <c r="J892" s="24"/>
    </row>
    <row r="893" ht="16.5" customHeight="1">
      <c r="B893" s="24"/>
      <c r="C893" s="24"/>
      <c r="D893" s="24"/>
      <c r="F893" s="24"/>
      <c r="G893" s="24"/>
      <c r="J893" s="24"/>
    </row>
    <row r="894" ht="16.5" customHeight="1">
      <c r="B894" s="24"/>
      <c r="C894" s="24"/>
      <c r="D894" s="24"/>
      <c r="F894" s="24"/>
      <c r="G894" s="24"/>
      <c r="J894" s="24"/>
    </row>
    <row r="895" ht="16.5" customHeight="1">
      <c r="B895" s="24"/>
      <c r="C895" s="24"/>
      <c r="D895" s="24"/>
      <c r="F895" s="24"/>
      <c r="G895" s="24"/>
      <c r="J895" s="24"/>
    </row>
    <row r="896" ht="16.5" customHeight="1">
      <c r="B896" s="24"/>
      <c r="C896" s="24"/>
      <c r="D896" s="24"/>
      <c r="F896" s="24"/>
      <c r="G896" s="24"/>
      <c r="J896" s="24"/>
    </row>
    <row r="897" ht="16.5" customHeight="1">
      <c r="B897" s="24"/>
      <c r="C897" s="24"/>
      <c r="D897" s="24"/>
      <c r="F897" s="24"/>
      <c r="G897" s="24"/>
      <c r="J897" s="24"/>
    </row>
    <row r="898" ht="16.5" customHeight="1">
      <c r="B898" s="24"/>
      <c r="C898" s="24"/>
      <c r="D898" s="24"/>
      <c r="F898" s="24"/>
      <c r="G898" s="24"/>
      <c r="J898" s="24"/>
    </row>
    <row r="899" ht="16.5" customHeight="1">
      <c r="B899" s="24"/>
      <c r="C899" s="24"/>
      <c r="D899" s="24"/>
      <c r="F899" s="24"/>
      <c r="G899" s="24"/>
      <c r="J899" s="24"/>
    </row>
    <row r="900" ht="16.5" customHeight="1">
      <c r="B900" s="24"/>
      <c r="C900" s="24"/>
      <c r="D900" s="24"/>
      <c r="F900" s="24"/>
      <c r="G900" s="24"/>
      <c r="J900" s="24"/>
    </row>
    <row r="901" ht="16.5" customHeight="1">
      <c r="B901" s="24"/>
      <c r="C901" s="24"/>
      <c r="D901" s="24"/>
      <c r="F901" s="24"/>
      <c r="G901" s="24"/>
      <c r="J901" s="24"/>
    </row>
    <row r="902" ht="16.5" customHeight="1">
      <c r="B902" s="24"/>
      <c r="C902" s="24"/>
      <c r="D902" s="24"/>
      <c r="F902" s="24"/>
      <c r="G902" s="24"/>
      <c r="J902" s="24"/>
    </row>
    <row r="903" ht="16.5" customHeight="1">
      <c r="B903" s="24"/>
      <c r="C903" s="24"/>
      <c r="D903" s="24"/>
      <c r="F903" s="24"/>
      <c r="G903" s="24"/>
      <c r="J903" s="24"/>
    </row>
    <row r="904" ht="16.5" customHeight="1">
      <c r="B904" s="24"/>
      <c r="C904" s="24"/>
      <c r="D904" s="24"/>
      <c r="F904" s="24"/>
      <c r="G904" s="24"/>
      <c r="J904" s="24"/>
    </row>
    <row r="905" ht="16.5" customHeight="1">
      <c r="B905" s="24"/>
      <c r="C905" s="24"/>
      <c r="D905" s="24"/>
      <c r="F905" s="24"/>
      <c r="G905" s="24"/>
      <c r="J905" s="24"/>
    </row>
    <row r="906" ht="16.5" customHeight="1">
      <c r="B906" s="24"/>
      <c r="C906" s="24"/>
      <c r="D906" s="24"/>
      <c r="F906" s="24"/>
      <c r="G906" s="24"/>
      <c r="J906" s="24"/>
    </row>
    <row r="907" ht="16.5" customHeight="1">
      <c r="B907" s="24"/>
      <c r="C907" s="24"/>
      <c r="D907" s="24"/>
      <c r="F907" s="24"/>
      <c r="G907" s="24"/>
      <c r="J907" s="24"/>
    </row>
    <row r="908" ht="16.5" customHeight="1">
      <c r="B908" s="24"/>
      <c r="C908" s="24"/>
      <c r="D908" s="24"/>
      <c r="F908" s="24"/>
      <c r="G908" s="24"/>
      <c r="J908" s="24"/>
    </row>
    <row r="909" ht="16.5" customHeight="1">
      <c r="B909" s="24"/>
      <c r="C909" s="24"/>
      <c r="D909" s="24"/>
      <c r="F909" s="24"/>
      <c r="G909" s="24"/>
      <c r="J909" s="24"/>
    </row>
    <row r="910" ht="16.5" customHeight="1">
      <c r="B910" s="24"/>
      <c r="C910" s="24"/>
      <c r="D910" s="24"/>
      <c r="F910" s="24"/>
      <c r="G910" s="24"/>
      <c r="J910" s="24"/>
    </row>
    <row r="911" ht="16.5" customHeight="1">
      <c r="B911" s="24"/>
      <c r="C911" s="24"/>
      <c r="D911" s="24"/>
      <c r="F911" s="24"/>
      <c r="G911" s="24"/>
      <c r="J911" s="24"/>
    </row>
    <row r="912" ht="16.5" customHeight="1">
      <c r="B912" s="24"/>
      <c r="C912" s="24"/>
      <c r="D912" s="24"/>
      <c r="F912" s="24"/>
      <c r="G912" s="24"/>
      <c r="J912" s="24"/>
    </row>
    <row r="913" ht="16.5" customHeight="1">
      <c r="B913" s="24"/>
      <c r="C913" s="24"/>
      <c r="D913" s="24"/>
      <c r="F913" s="24"/>
      <c r="G913" s="24"/>
      <c r="J913" s="24"/>
    </row>
    <row r="914" ht="16.5" customHeight="1">
      <c r="B914" s="24"/>
      <c r="C914" s="24"/>
      <c r="D914" s="24"/>
      <c r="F914" s="24"/>
      <c r="G914" s="24"/>
      <c r="J914" s="24"/>
    </row>
    <row r="915" ht="16.5" customHeight="1">
      <c r="B915" s="24"/>
      <c r="C915" s="24"/>
      <c r="D915" s="24"/>
      <c r="F915" s="24"/>
      <c r="G915" s="24"/>
      <c r="J915" s="24"/>
    </row>
    <row r="916" ht="16.5" customHeight="1">
      <c r="B916" s="24"/>
      <c r="C916" s="24"/>
      <c r="D916" s="24"/>
      <c r="F916" s="24"/>
      <c r="G916" s="24"/>
      <c r="J916" s="24"/>
    </row>
    <row r="917" ht="16.5" customHeight="1">
      <c r="B917" s="24"/>
      <c r="C917" s="24"/>
      <c r="D917" s="24"/>
      <c r="F917" s="24"/>
      <c r="G917" s="24"/>
      <c r="J917" s="24"/>
    </row>
    <row r="918" ht="16.5" customHeight="1">
      <c r="B918" s="24"/>
      <c r="C918" s="24"/>
      <c r="D918" s="24"/>
      <c r="F918" s="24"/>
      <c r="G918" s="24"/>
      <c r="J918" s="24"/>
    </row>
    <row r="919" ht="16.5" customHeight="1">
      <c r="B919" s="24"/>
      <c r="C919" s="24"/>
      <c r="D919" s="24"/>
      <c r="F919" s="24"/>
      <c r="G919" s="24"/>
      <c r="J919" s="24"/>
    </row>
    <row r="920" ht="16.5" customHeight="1">
      <c r="B920" s="24"/>
      <c r="C920" s="24"/>
      <c r="D920" s="24"/>
      <c r="F920" s="24"/>
      <c r="G920" s="24"/>
      <c r="J920" s="24"/>
    </row>
    <row r="921" ht="16.5" customHeight="1">
      <c r="B921" s="24"/>
      <c r="C921" s="24"/>
      <c r="D921" s="24"/>
      <c r="F921" s="24"/>
      <c r="G921" s="24"/>
      <c r="J921" s="24"/>
    </row>
    <row r="922" ht="16.5" customHeight="1">
      <c r="B922" s="24"/>
      <c r="C922" s="24"/>
      <c r="D922" s="24"/>
      <c r="F922" s="24"/>
      <c r="G922" s="24"/>
      <c r="J922" s="24"/>
    </row>
    <row r="923" ht="16.5" customHeight="1">
      <c r="B923" s="24"/>
      <c r="C923" s="24"/>
      <c r="D923" s="24"/>
      <c r="F923" s="24"/>
      <c r="G923" s="24"/>
      <c r="J923" s="24"/>
    </row>
    <row r="924" ht="16.5" customHeight="1">
      <c r="B924" s="24"/>
      <c r="C924" s="24"/>
      <c r="D924" s="24"/>
      <c r="F924" s="24"/>
      <c r="G924" s="24"/>
      <c r="J924" s="24"/>
    </row>
    <row r="925" ht="16.5" customHeight="1">
      <c r="B925" s="24"/>
      <c r="C925" s="24"/>
      <c r="D925" s="24"/>
      <c r="F925" s="24"/>
      <c r="G925" s="24"/>
      <c r="J925" s="24"/>
    </row>
    <row r="926" ht="16.5" customHeight="1">
      <c r="B926" s="24"/>
      <c r="C926" s="24"/>
      <c r="D926" s="24"/>
      <c r="F926" s="24"/>
      <c r="G926" s="24"/>
      <c r="J926" s="24"/>
    </row>
    <row r="927" ht="16.5" customHeight="1">
      <c r="B927" s="24"/>
      <c r="C927" s="24"/>
      <c r="D927" s="24"/>
      <c r="F927" s="24"/>
      <c r="G927" s="24"/>
      <c r="J927" s="24"/>
    </row>
    <row r="928" ht="16.5" customHeight="1">
      <c r="B928" s="24"/>
      <c r="C928" s="24"/>
      <c r="D928" s="24"/>
      <c r="F928" s="24"/>
      <c r="G928" s="24"/>
      <c r="J928" s="24"/>
    </row>
    <row r="929" ht="16.5" customHeight="1">
      <c r="B929" s="24"/>
      <c r="C929" s="24"/>
      <c r="D929" s="24"/>
      <c r="F929" s="24"/>
      <c r="G929" s="24"/>
      <c r="J929" s="24"/>
    </row>
    <row r="930" ht="16.5" customHeight="1">
      <c r="B930" s="24"/>
      <c r="C930" s="24"/>
      <c r="D930" s="24"/>
      <c r="F930" s="24"/>
      <c r="G930" s="24"/>
      <c r="J930" s="24"/>
    </row>
    <row r="931" ht="16.5" customHeight="1">
      <c r="B931" s="24"/>
      <c r="C931" s="24"/>
      <c r="D931" s="24"/>
      <c r="F931" s="24"/>
      <c r="G931" s="24"/>
      <c r="J931" s="24"/>
    </row>
    <row r="932" ht="16.5" customHeight="1">
      <c r="B932" s="24"/>
      <c r="C932" s="24"/>
      <c r="D932" s="24"/>
      <c r="F932" s="24"/>
      <c r="G932" s="24"/>
      <c r="J932" s="24"/>
    </row>
    <row r="933" ht="16.5" customHeight="1">
      <c r="B933" s="24"/>
      <c r="C933" s="24"/>
      <c r="D933" s="24"/>
      <c r="F933" s="24"/>
      <c r="G933" s="24"/>
      <c r="J933" s="24"/>
    </row>
    <row r="934" ht="16.5" customHeight="1">
      <c r="B934" s="24"/>
      <c r="C934" s="24"/>
      <c r="D934" s="24"/>
      <c r="F934" s="24"/>
      <c r="G934" s="24"/>
      <c r="J934" s="24"/>
    </row>
    <row r="935" ht="16.5" customHeight="1">
      <c r="B935" s="24"/>
      <c r="C935" s="24"/>
      <c r="D935" s="24"/>
      <c r="F935" s="24"/>
      <c r="G935" s="24"/>
      <c r="J935" s="24"/>
    </row>
    <row r="936" ht="16.5" customHeight="1">
      <c r="B936" s="24"/>
      <c r="C936" s="24"/>
      <c r="D936" s="24"/>
      <c r="F936" s="24"/>
      <c r="G936" s="24"/>
      <c r="J936" s="24"/>
    </row>
    <row r="937" ht="16.5" customHeight="1">
      <c r="B937" s="24"/>
      <c r="C937" s="24"/>
      <c r="D937" s="24"/>
      <c r="F937" s="24"/>
      <c r="G937" s="24"/>
      <c r="J937" s="24"/>
    </row>
    <row r="938" ht="16.5" customHeight="1">
      <c r="B938" s="24"/>
      <c r="C938" s="24"/>
      <c r="D938" s="24"/>
      <c r="F938" s="24"/>
      <c r="G938" s="24"/>
      <c r="J938" s="24"/>
    </row>
    <row r="939" ht="16.5" customHeight="1">
      <c r="B939" s="24"/>
      <c r="C939" s="24"/>
      <c r="D939" s="24"/>
      <c r="F939" s="24"/>
      <c r="G939" s="24"/>
      <c r="J939" s="24"/>
    </row>
    <row r="940" ht="16.5" customHeight="1">
      <c r="B940" s="24"/>
      <c r="C940" s="24"/>
      <c r="D940" s="24"/>
      <c r="F940" s="24"/>
      <c r="G940" s="24"/>
      <c r="J940" s="24"/>
    </row>
    <row r="941" ht="16.5" customHeight="1">
      <c r="B941" s="24"/>
      <c r="C941" s="24"/>
      <c r="D941" s="24"/>
      <c r="F941" s="24"/>
      <c r="G941" s="24"/>
      <c r="J941" s="24"/>
    </row>
    <row r="942" ht="16.5" customHeight="1">
      <c r="B942" s="24"/>
      <c r="C942" s="24"/>
      <c r="D942" s="24"/>
      <c r="F942" s="24"/>
      <c r="G942" s="24"/>
      <c r="J942" s="24"/>
    </row>
    <row r="943" ht="16.5" customHeight="1">
      <c r="B943" s="24"/>
      <c r="C943" s="24"/>
      <c r="D943" s="24"/>
      <c r="F943" s="24"/>
      <c r="G943" s="24"/>
      <c r="J943" s="24"/>
    </row>
    <row r="944" ht="16.5" customHeight="1">
      <c r="B944" s="24"/>
      <c r="C944" s="24"/>
      <c r="D944" s="24"/>
      <c r="F944" s="24"/>
      <c r="G944" s="24"/>
      <c r="J944" s="24"/>
    </row>
    <row r="945" ht="16.5" customHeight="1">
      <c r="B945" s="24"/>
      <c r="C945" s="24"/>
      <c r="D945" s="24"/>
      <c r="F945" s="24"/>
      <c r="G945" s="24"/>
      <c r="J945" s="24"/>
    </row>
    <row r="946" ht="16.5" customHeight="1">
      <c r="B946" s="24"/>
      <c r="C946" s="24"/>
      <c r="D946" s="24"/>
      <c r="F946" s="24"/>
      <c r="G946" s="24"/>
      <c r="J946" s="24"/>
    </row>
    <row r="947" ht="16.5" customHeight="1">
      <c r="B947" s="24"/>
      <c r="C947" s="24"/>
      <c r="D947" s="24"/>
      <c r="F947" s="24"/>
      <c r="G947" s="24"/>
      <c r="J947" s="24"/>
    </row>
    <row r="948" ht="16.5" customHeight="1">
      <c r="B948" s="24"/>
      <c r="C948" s="24"/>
      <c r="D948" s="24"/>
      <c r="F948" s="24"/>
      <c r="G948" s="24"/>
      <c r="J948" s="24"/>
    </row>
    <row r="949" ht="16.5" customHeight="1">
      <c r="B949" s="24"/>
      <c r="C949" s="24"/>
      <c r="D949" s="24"/>
      <c r="F949" s="24"/>
      <c r="G949" s="24"/>
      <c r="J949" s="24"/>
    </row>
    <row r="950" ht="16.5" customHeight="1">
      <c r="B950" s="24"/>
      <c r="C950" s="24"/>
      <c r="D950" s="24"/>
      <c r="F950" s="24"/>
      <c r="G950" s="24"/>
      <c r="J950" s="24"/>
    </row>
    <row r="951" ht="16.5" customHeight="1">
      <c r="B951" s="24"/>
      <c r="C951" s="24"/>
      <c r="D951" s="24"/>
      <c r="F951" s="24"/>
      <c r="G951" s="24"/>
      <c r="J951" s="24"/>
    </row>
    <row r="952" ht="16.5" customHeight="1">
      <c r="B952" s="24"/>
      <c r="C952" s="24"/>
      <c r="D952" s="24"/>
      <c r="F952" s="24"/>
      <c r="G952" s="24"/>
      <c r="J952" s="24"/>
    </row>
    <row r="953" ht="16.5" customHeight="1">
      <c r="B953" s="24"/>
      <c r="C953" s="24"/>
      <c r="D953" s="24"/>
      <c r="F953" s="24"/>
      <c r="G953" s="24"/>
      <c r="J953" s="24"/>
    </row>
    <row r="954" ht="16.5" customHeight="1">
      <c r="B954" s="24"/>
      <c r="C954" s="24"/>
      <c r="D954" s="24"/>
      <c r="F954" s="24"/>
      <c r="G954" s="24"/>
      <c r="J954" s="24"/>
    </row>
    <row r="955" ht="16.5" customHeight="1">
      <c r="B955" s="24"/>
      <c r="C955" s="24"/>
      <c r="D955" s="24"/>
      <c r="F955" s="24"/>
      <c r="G955" s="24"/>
      <c r="J955" s="24"/>
    </row>
    <row r="956" ht="16.5" customHeight="1">
      <c r="B956" s="24"/>
      <c r="C956" s="24"/>
      <c r="D956" s="24"/>
      <c r="F956" s="24"/>
      <c r="G956" s="24"/>
      <c r="J956" s="24"/>
    </row>
    <row r="957" ht="16.5" customHeight="1">
      <c r="B957" s="24"/>
      <c r="C957" s="24"/>
      <c r="D957" s="24"/>
      <c r="F957" s="24"/>
      <c r="G957" s="24"/>
      <c r="J957" s="24"/>
    </row>
    <row r="958" ht="16.5" customHeight="1">
      <c r="B958" s="24"/>
      <c r="C958" s="24"/>
      <c r="D958" s="24"/>
      <c r="F958" s="24"/>
      <c r="G958" s="24"/>
      <c r="J958" s="24"/>
    </row>
    <row r="959" ht="16.5" customHeight="1">
      <c r="B959" s="24"/>
      <c r="C959" s="24"/>
      <c r="D959" s="24"/>
      <c r="F959" s="24"/>
      <c r="G959" s="24"/>
      <c r="J959" s="24"/>
    </row>
    <row r="960" ht="16.5" customHeight="1">
      <c r="B960" s="24"/>
      <c r="C960" s="24"/>
      <c r="D960" s="24"/>
      <c r="F960" s="24"/>
      <c r="G960" s="24"/>
      <c r="J960" s="24"/>
    </row>
    <row r="961" ht="16.5" customHeight="1">
      <c r="B961" s="24"/>
      <c r="C961" s="24"/>
      <c r="D961" s="24"/>
      <c r="F961" s="24"/>
      <c r="G961" s="24"/>
      <c r="J961" s="24"/>
    </row>
    <row r="962" ht="16.5" customHeight="1">
      <c r="B962" s="24"/>
      <c r="C962" s="24"/>
      <c r="D962" s="24"/>
      <c r="F962" s="24"/>
      <c r="G962" s="24"/>
      <c r="J962" s="24"/>
    </row>
    <row r="963" ht="16.5" customHeight="1">
      <c r="B963" s="24"/>
      <c r="C963" s="24"/>
      <c r="D963" s="24"/>
      <c r="F963" s="24"/>
      <c r="G963" s="24"/>
      <c r="J963" s="24"/>
    </row>
    <row r="964" ht="16.5" customHeight="1">
      <c r="B964" s="24"/>
      <c r="C964" s="24"/>
      <c r="D964" s="24"/>
      <c r="F964" s="24"/>
      <c r="G964" s="24"/>
      <c r="J964" s="24"/>
    </row>
    <row r="965" ht="16.5" customHeight="1">
      <c r="B965" s="24"/>
      <c r="C965" s="24"/>
      <c r="D965" s="24"/>
      <c r="F965" s="24"/>
      <c r="G965" s="24"/>
      <c r="J965" s="24"/>
    </row>
    <row r="966" ht="16.5" customHeight="1">
      <c r="B966" s="24"/>
      <c r="C966" s="24"/>
      <c r="D966" s="24"/>
      <c r="F966" s="24"/>
      <c r="G966" s="24"/>
      <c r="J966" s="24"/>
    </row>
    <row r="967" ht="16.5" customHeight="1">
      <c r="B967" s="24"/>
      <c r="C967" s="24"/>
      <c r="D967" s="24"/>
      <c r="F967" s="24"/>
      <c r="G967" s="24"/>
      <c r="J967" s="24"/>
    </row>
    <row r="968" ht="16.5" customHeight="1">
      <c r="B968" s="24"/>
      <c r="C968" s="24"/>
      <c r="D968" s="24"/>
      <c r="F968" s="24"/>
      <c r="G968" s="24"/>
      <c r="J968" s="24"/>
    </row>
    <row r="969" ht="16.5" customHeight="1">
      <c r="B969" s="24"/>
      <c r="C969" s="24"/>
      <c r="D969" s="24"/>
      <c r="F969" s="24"/>
      <c r="G969" s="24"/>
      <c r="J969" s="24"/>
    </row>
    <row r="970" ht="16.5" customHeight="1">
      <c r="B970" s="24"/>
      <c r="C970" s="24"/>
      <c r="D970" s="24"/>
      <c r="F970" s="24"/>
      <c r="G970" s="24"/>
      <c r="J970" s="24"/>
    </row>
    <row r="971" ht="16.5" customHeight="1">
      <c r="B971" s="24"/>
      <c r="C971" s="24"/>
      <c r="D971" s="24"/>
      <c r="F971" s="24"/>
      <c r="G971" s="24"/>
      <c r="J971" s="24"/>
    </row>
    <row r="972" ht="16.5" customHeight="1">
      <c r="B972" s="24"/>
      <c r="C972" s="24"/>
      <c r="D972" s="24"/>
      <c r="F972" s="24"/>
      <c r="G972" s="24"/>
      <c r="J972" s="24"/>
    </row>
    <row r="973" ht="16.5" customHeight="1">
      <c r="B973" s="24"/>
      <c r="C973" s="24"/>
      <c r="D973" s="24"/>
      <c r="F973" s="24"/>
      <c r="G973" s="24"/>
      <c r="J973" s="24"/>
    </row>
    <row r="974" ht="16.5" customHeight="1">
      <c r="B974" s="24"/>
      <c r="C974" s="24"/>
      <c r="D974" s="24"/>
      <c r="F974" s="24"/>
      <c r="G974" s="24"/>
      <c r="J974" s="24"/>
    </row>
    <row r="975" ht="16.5" customHeight="1">
      <c r="B975" s="24"/>
      <c r="C975" s="24"/>
      <c r="D975" s="24"/>
      <c r="F975" s="24"/>
      <c r="G975" s="24"/>
      <c r="J975" s="24"/>
    </row>
    <row r="976" ht="16.5" customHeight="1">
      <c r="B976" s="24"/>
      <c r="C976" s="24"/>
      <c r="D976" s="24"/>
      <c r="F976" s="24"/>
      <c r="G976" s="24"/>
      <c r="J976" s="24"/>
    </row>
    <row r="977" ht="16.5" customHeight="1">
      <c r="B977" s="24"/>
      <c r="C977" s="24"/>
      <c r="D977" s="24"/>
      <c r="F977" s="24"/>
      <c r="G977" s="24"/>
      <c r="J977" s="24"/>
    </row>
    <row r="978" ht="16.5" customHeight="1">
      <c r="B978" s="24"/>
      <c r="C978" s="24"/>
      <c r="D978" s="24"/>
      <c r="F978" s="24"/>
      <c r="G978" s="24"/>
      <c r="J978" s="24"/>
    </row>
    <row r="979" ht="16.5" customHeight="1">
      <c r="B979" s="24"/>
      <c r="C979" s="24"/>
      <c r="D979" s="24"/>
      <c r="F979" s="24"/>
      <c r="G979" s="24"/>
      <c r="J979" s="24"/>
    </row>
    <row r="980" ht="16.5" customHeight="1">
      <c r="B980" s="24"/>
      <c r="C980" s="24"/>
      <c r="D980" s="24"/>
      <c r="F980" s="24"/>
      <c r="G980" s="24"/>
      <c r="J980" s="24"/>
    </row>
    <row r="981" ht="16.5" customHeight="1">
      <c r="B981" s="24"/>
      <c r="C981" s="24"/>
      <c r="D981" s="24"/>
      <c r="F981" s="24"/>
      <c r="G981" s="24"/>
      <c r="J981" s="24"/>
    </row>
    <row r="982" ht="16.5" customHeight="1">
      <c r="B982" s="24"/>
      <c r="C982" s="24"/>
      <c r="D982" s="24"/>
      <c r="F982" s="24"/>
      <c r="G982" s="24"/>
      <c r="J982" s="24"/>
    </row>
    <row r="983" ht="16.5" customHeight="1">
      <c r="B983" s="24"/>
      <c r="C983" s="24"/>
      <c r="D983" s="24"/>
      <c r="F983" s="24"/>
      <c r="G983" s="24"/>
      <c r="J983" s="24"/>
    </row>
    <row r="984" ht="16.5" customHeight="1">
      <c r="B984" s="24"/>
      <c r="C984" s="24"/>
      <c r="D984" s="24"/>
      <c r="F984" s="24"/>
      <c r="G984" s="24"/>
      <c r="J984" s="24"/>
    </row>
    <row r="985" ht="16.5" customHeight="1">
      <c r="B985" s="24"/>
      <c r="C985" s="24"/>
      <c r="D985" s="24"/>
      <c r="F985" s="24"/>
      <c r="G985" s="24"/>
      <c r="J985" s="24"/>
    </row>
    <row r="986" ht="16.5" customHeight="1">
      <c r="B986" s="24"/>
      <c r="C986" s="24"/>
      <c r="D986" s="24"/>
      <c r="F986" s="24"/>
      <c r="G986" s="24"/>
      <c r="J986" s="24"/>
    </row>
    <row r="987" ht="16.5" customHeight="1">
      <c r="B987" s="24"/>
      <c r="C987" s="24"/>
      <c r="D987" s="24"/>
      <c r="F987" s="24"/>
      <c r="G987" s="24"/>
      <c r="J987" s="24"/>
    </row>
    <row r="988" ht="16.5" customHeight="1">
      <c r="B988" s="24"/>
      <c r="C988" s="24"/>
      <c r="D988" s="24"/>
      <c r="F988" s="24"/>
      <c r="G988" s="24"/>
      <c r="J988" s="24"/>
    </row>
    <row r="989" ht="16.5" customHeight="1">
      <c r="B989" s="24"/>
      <c r="C989" s="24"/>
      <c r="D989" s="24"/>
      <c r="F989" s="24"/>
      <c r="G989" s="24"/>
      <c r="J989" s="24"/>
    </row>
    <row r="990" ht="16.5" customHeight="1">
      <c r="B990" s="24"/>
      <c r="C990" s="24"/>
      <c r="D990" s="24"/>
      <c r="F990" s="24"/>
      <c r="G990" s="24"/>
      <c r="J990" s="24"/>
    </row>
    <row r="991" ht="16.5" customHeight="1">
      <c r="B991" s="24"/>
      <c r="C991" s="24"/>
      <c r="D991" s="24"/>
      <c r="F991" s="24"/>
      <c r="G991" s="24"/>
      <c r="J991" s="24"/>
    </row>
    <row r="992" ht="16.5" customHeight="1">
      <c r="B992" s="24"/>
      <c r="C992" s="24"/>
      <c r="D992" s="24"/>
      <c r="F992" s="24"/>
      <c r="G992" s="24"/>
      <c r="J992" s="24"/>
    </row>
    <row r="993" ht="16.5" customHeight="1">
      <c r="B993" s="24"/>
      <c r="C993" s="24"/>
      <c r="D993" s="24"/>
      <c r="F993" s="24"/>
      <c r="G993" s="24"/>
      <c r="J993" s="24"/>
    </row>
    <row r="994" ht="16.5" customHeight="1">
      <c r="B994" s="24"/>
      <c r="C994" s="24"/>
      <c r="D994" s="24"/>
      <c r="F994" s="24"/>
      <c r="G994" s="24"/>
      <c r="J994" s="24"/>
    </row>
    <row r="995" ht="16.5" customHeight="1">
      <c r="B995" s="24"/>
      <c r="C995" s="24"/>
      <c r="D995" s="24"/>
      <c r="F995" s="24"/>
      <c r="G995" s="24"/>
      <c r="J995" s="24"/>
    </row>
    <row r="996" ht="16.5" customHeight="1">
      <c r="B996" s="24"/>
      <c r="C996" s="24"/>
      <c r="D996" s="24"/>
      <c r="F996" s="24"/>
      <c r="G996" s="24"/>
      <c r="J996" s="24"/>
    </row>
    <row r="997" ht="16.5" customHeight="1">
      <c r="B997" s="24"/>
      <c r="C997" s="24"/>
      <c r="D997" s="24"/>
      <c r="F997" s="24"/>
      <c r="G997" s="24"/>
      <c r="J997" s="24"/>
    </row>
    <row r="998" ht="16.5" customHeight="1">
      <c r="B998" s="24"/>
      <c r="C998" s="24"/>
      <c r="D998" s="24"/>
      <c r="F998" s="24"/>
      <c r="G998" s="24"/>
      <c r="J998" s="24"/>
    </row>
    <row r="999" ht="16.5" customHeight="1">
      <c r="B999" s="24"/>
      <c r="C999" s="24"/>
      <c r="D999" s="24"/>
      <c r="F999" s="24"/>
      <c r="G999" s="24"/>
      <c r="J999" s="24"/>
    </row>
    <row r="1000" ht="16.5" customHeight="1">
      <c r="B1000" s="24"/>
      <c r="C1000" s="24"/>
      <c r="D1000" s="24"/>
      <c r="F1000" s="24"/>
      <c r="G1000" s="24"/>
      <c r="J1000" s="24"/>
    </row>
  </sheetData>
  <mergeCells count="3">
    <mergeCell ref="A1:D1"/>
    <mergeCell ref="E1:H1"/>
    <mergeCell ref="I1:L1"/>
  </mergeCells>
  <drawing r:id="rId1"/>
</worksheet>
</file>